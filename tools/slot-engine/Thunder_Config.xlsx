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ATA" sheetId="1" r:id="rId1"/>
    <sheet name="SIMULATION" sheetId="2" r:id="rId2"/>
    <sheet name="DESIGN_VIEW" sheetId="3" r:id="rId3"/>
    <sheet name="ENG_TOOLS" sheetId="4" r:id="rId4"/>
    <sheet name="MODE_MATH" sheetId="5" r:id="rId5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13"/>
  <sheetViews>
    <sheetView workbookViewId="0" rightToLeft="0"/>
  </sheetViews>
  <sheetData>
    <row r="1">
      <c r="A1" t="str">
        <v>Thunder Blessing Slot — 遊戲數學設計 DATA Tab（唯一編輯入口）</v>
      </c>
    </row>
    <row r="2">
      <c r="A2" t="str">
        <v>⚠️  此 Tab 為所有人員的唯一修改入口。修改後需重跑 excel_simulator.js 驗證。</v>
      </c>
    </row>
    <row r="3">
      <c r="A3" t="str">
        <v xml:space="preserve">   各情境獨立配置：實際賠率表 / 符號權重 / 近失 / RTP 目標</v>
      </c>
    </row>
    <row r="5">
      <c r="A5" t="str">
        <v>══════════════════════════════════════════════════════</v>
      </c>
    </row>
    <row r="6">
      <c r="A6" t="str">
        <v>★ 共用基礎設定（四情境共用，改動影響全部）</v>
      </c>
    </row>
    <row r="7">
      <c r="A7" t="str">
        <v>══════════════════════════════════════════════════════</v>
      </c>
    </row>
    <row r="9">
      <c r="A9" t="str">
        <v>[機台基本規格]</v>
      </c>
    </row>
    <row r="10">
      <c r="A10" t="str">
        <v>滾輪數</v>
      </c>
      <c r="B10">
        <v>5</v>
      </c>
    </row>
    <row r="11">
      <c r="A11" t="str">
        <v>基本列數</v>
      </c>
      <c r="B11">
        <v>3</v>
      </c>
    </row>
    <row r="12">
      <c r="A12" t="str">
        <v>最大列數</v>
      </c>
      <c r="B12">
        <v>6</v>
      </c>
    </row>
    <row r="13">
      <c r="A13" t="str">
        <v>最高獎金上限</v>
      </c>
      <c r="B13">
        <v>30000</v>
      </c>
      <c r="C13" t="str">
        <v>× bet（30,000x）</v>
      </c>
    </row>
    <row r="15">
      <c r="A15" t="str">
        <v>[基礎賠率表 BASE_PAYTABLE]</v>
      </c>
      <c r="B15" t="str">
        <v/>
      </c>
      <c r="C15" t="str">
        <v>× PAYTABLE_SCALE × 情境SCALE = 實際賠率（見各情境詳表）</v>
      </c>
    </row>
    <row r="16">
      <c r="A16" t="str">
        <v>符號</v>
      </c>
      <c r="B16" t="str">
        <v>3連</v>
      </c>
      <c r="C16" t="str">
        <v>4連</v>
      </c>
      <c r="D16" t="str">
        <v>5連</v>
      </c>
    </row>
    <row r="17">
      <c r="A17" t="str">
        <v>W</v>
      </c>
      <c r="B17">
        <v>0.17</v>
      </c>
      <c r="C17">
        <v>0.43</v>
      </c>
      <c r="D17">
        <v>1.17</v>
      </c>
    </row>
    <row r="18">
      <c r="A18" t="str">
        <v>P1</v>
      </c>
      <c r="B18">
        <v>0.17</v>
      </c>
      <c r="C18">
        <v>0.43</v>
      </c>
      <c r="D18">
        <v>1.17</v>
      </c>
    </row>
    <row r="19">
      <c r="A19" t="str">
        <v>P2</v>
      </c>
      <c r="B19">
        <v>0.11</v>
      </c>
      <c r="C19">
        <v>0.27</v>
      </c>
      <c r="D19">
        <v>0.67</v>
      </c>
    </row>
    <row r="20">
      <c r="A20" t="str">
        <v>P3</v>
      </c>
      <c r="B20">
        <v>0.09</v>
      </c>
      <c r="C20">
        <v>0.23</v>
      </c>
      <c r="D20">
        <v>0.67</v>
      </c>
    </row>
    <row r="21">
      <c r="A21" t="str">
        <v>P4</v>
      </c>
      <c r="B21">
        <v>0.07</v>
      </c>
      <c r="C21">
        <v>0.17</v>
      </c>
      <c r="D21">
        <v>0.57</v>
      </c>
    </row>
    <row r="22">
      <c r="A22" t="str">
        <v>L1</v>
      </c>
      <c r="B22">
        <v>0.03</v>
      </c>
      <c r="C22">
        <v>0.07</v>
      </c>
      <c r="D22">
        <v>0.17</v>
      </c>
    </row>
    <row r="23">
      <c r="A23" t="str">
        <v>L2</v>
      </c>
      <c r="B23">
        <v>0.03</v>
      </c>
      <c r="C23">
        <v>0.07</v>
      </c>
      <c r="D23">
        <v>0.17</v>
      </c>
    </row>
    <row r="24">
      <c r="A24" t="str">
        <v>L3</v>
      </c>
      <c r="B24">
        <v>0.02</v>
      </c>
      <c r="C24">
        <v>0.05</v>
      </c>
      <c r="D24">
        <v>0.13</v>
      </c>
    </row>
    <row r="25">
      <c r="A25" t="str">
        <v>L4</v>
      </c>
      <c r="B25">
        <v>0.02</v>
      </c>
      <c r="C25">
        <v>0.05</v>
      </c>
      <c r="D25">
        <v>0.13</v>
      </c>
    </row>
    <row r="26">
      <c r="A26" t="str">
        <v>SC</v>
      </c>
      <c r="B26" t="str">
        <v>-</v>
      </c>
      <c r="C26" t="str">
        <v>-</v>
      </c>
      <c r="D26" t="str">
        <v>-</v>
      </c>
      <c r="E26" t="str">
        <v>（無賠率）</v>
      </c>
    </row>
    <row r="28">
      <c r="A28" t="str">
        <v>[PAYTABLE_SCALE]</v>
      </c>
      <c r="B28">
        <v>3.622</v>
      </c>
      <c r="C28" t="str">
        <v>統一 payline 命中率修正因子（payline 模型修正）</v>
      </c>
    </row>
    <row r="29">
      <c r="A29" t="str">
        <v>說明：payline 機制命中率遠低於 scatter-pays，需此倍率補償至 scatter 等效水準</v>
      </c>
    </row>
    <row r="31">
      <c r="A31" t="str">
        <v>[FG 共用設定]</v>
      </c>
      <c r="B31" t="str">
        <v/>
      </c>
      <c r="C31" t="str">
        <v>情境1(MG) / 情境2(EB) 的 FG Loop 使用；情境3,4 保證5spin 同倍率</v>
      </c>
    </row>
    <row r="32">
      <c r="A32" t="str">
        <v>FG 符號權重（自由遊戲 symbol 機率）</v>
      </c>
    </row>
    <row r="33">
      <c r="A33" t="str">
        <v>符號</v>
      </c>
      <c r="B33" t="str">
        <v>權重</v>
      </c>
    </row>
    <row r="34">
      <c r="A34" t="str">
        <v>W</v>
      </c>
      <c r="B34">
        <v>4</v>
      </c>
    </row>
    <row r="35">
      <c r="A35" t="str">
        <v>SC</v>
      </c>
      <c r="B35">
        <v>6</v>
      </c>
    </row>
    <row r="36">
      <c r="A36" t="str">
        <v>P1</v>
      </c>
      <c r="B36">
        <v>9</v>
      </c>
    </row>
    <row r="37">
      <c r="A37" t="str">
        <v>P2</v>
      </c>
      <c r="B37">
        <v>10</v>
      </c>
    </row>
    <row r="38">
      <c r="A38" t="str">
        <v>P3</v>
      </c>
      <c r="B38">
        <v>11</v>
      </c>
    </row>
    <row r="39">
      <c r="A39" t="str">
        <v>P4</v>
      </c>
      <c r="B39">
        <v>12</v>
      </c>
    </row>
    <row r="40">
      <c r="A40" t="str">
        <v>L1</v>
      </c>
      <c r="B40">
        <v>9</v>
      </c>
    </row>
    <row r="41">
      <c r="A41" t="str">
        <v>L2</v>
      </c>
      <c r="B41">
        <v>9</v>
      </c>
    </row>
    <row r="42">
      <c r="A42" t="str">
        <v>L3</v>
      </c>
      <c r="B42">
        <v>10</v>
      </c>
    </row>
    <row r="43">
      <c r="A43" t="str">
        <v>L4</v>
      </c>
      <c r="B43">
        <v>10</v>
      </c>
    </row>
    <row r="44">
      <c r="A44" t="str">
        <v>合計</v>
      </c>
      <c r="B44">
        <v>90</v>
      </c>
    </row>
    <row r="46">
      <c r="A46" t="str">
        <v>FG 倍率階梯 &amp; Coin Toss 升級機率（情境1,2 用；情境3,4 固定按順序各一次）</v>
      </c>
    </row>
    <row r="47">
      <c r="A47" t="str">
        <v>等級</v>
      </c>
      <c r="B47" t="str">
        <v>FG倍率</v>
      </c>
      <c r="C47" t="str">
        <v>Coin Toss 正面P</v>
      </c>
      <c r="D47" t="str">
        <v>說明</v>
      </c>
    </row>
    <row r="48">
      <c r="A48">
        <v>1</v>
      </c>
      <c r="B48">
        <v>3</v>
      </c>
      <c r="C48">
        <v>0.8</v>
      </c>
      <c r="D48" t="str">
        <v>初始</v>
      </c>
    </row>
    <row r="49">
      <c r="A49">
        <v>2</v>
      </c>
      <c r="B49">
        <v>7</v>
      </c>
      <c r="C49">
        <v>0.68</v>
      </c>
      <c r="D49" t="str">
        <v>2nd 正面</v>
      </c>
    </row>
    <row r="50">
      <c r="A50">
        <v>3</v>
      </c>
      <c r="B50">
        <v>17</v>
      </c>
      <c r="C50">
        <v>0.56</v>
      </c>
      <c r="D50" t="str">
        <v>3rd 正面</v>
      </c>
    </row>
    <row r="51">
      <c r="A51">
        <v>4</v>
      </c>
      <c r="B51">
        <v>27</v>
      </c>
      <c r="C51">
        <v>0.48</v>
      </c>
      <c r="D51" t="str">
        <v>4th 正面</v>
      </c>
    </row>
    <row r="52">
      <c r="A52">
        <v>5</v>
      </c>
      <c r="B52">
        <v>77</v>
      </c>
      <c r="C52">
        <v>0.4</v>
      </c>
      <c r="D52" t="str">
        <v>最高（再正面維持）</v>
      </c>
    </row>
    <row r="54">
      <c r="A54" t="str">
        <v>FG Spin Bonus 分布（每次 FG spin 前抽取，乘入該 spin 獎金）</v>
      </c>
    </row>
    <row r="55">
      <c r="A55" t="str">
        <v>倍率</v>
      </c>
      <c r="B55" t="str">
        <v>權重</v>
      </c>
      <c r="C55" t="str">
        <v>機率</v>
      </c>
      <c r="D55" t="str">
        <v>說明</v>
      </c>
    </row>
    <row r="56">
      <c r="A56">
        <v>1</v>
      </c>
      <c r="B56">
        <v>900</v>
      </c>
      <c r="C56" t="str">
        <v>90.00%</v>
      </c>
      <c r="D56" t="str">
        <v>無加成</v>
      </c>
    </row>
    <row r="57">
      <c r="A57">
        <v>5</v>
      </c>
      <c r="B57">
        <v>80</v>
      </c>
      <c r="C57" t="str">
        <v>8.00%</v>
      </c>
      <c r="D57" t="str">
        <v>小爆彈</v>
      </c>
    </row>
    <row r="58">
      <c r="A58">
        <v>20</v>
      </c>
      <c r="B58">
        <v>15</v>
      </c>
      <c r="C58" t="str">
        <v>1.50%</v>
      </c>
      <c r="D58" t="str">
        <v>中爆彈</v>
      </c>
    </row>
    <row r="59">
      <c r="A59">
        <v>100</v>
      </c>
      <c r="B59">
        <v>5</v>
      </c>
      <c r="C59" t="str">
        <v>0.50%</v>
      </c>
      <c r="D59" t="str">
        <v>大爆彈</v>
      </c>
    </row>
    <row r="60">
      <c r="A60" t="str">
        <v>合計</v>
      </c>
      <c r="B60">
        <v>1000</v>
      </c>
      <c r="C60" t="str">
        <v>100%</v>
      </c>
      <c r="D60" t="str">
        <v>E[Bonus] = 2.1000</v>
      </c>
    </row>
    <row r="62">
      <c r="A62" t="str">
        <v>TB 符號升階表（四情境共用）</v>
      </c>
      <c r="B62" t="str">
        <v/>
      </c>
      <c r="C62" t="str">
        <v>雷霆祝福觸發時，閃電標記格升階</v>
      </c>
    </row>
    <row r="63">
      <c r="A63" t="str">
        <v>原符號</v>
      </c>
      <c r="B63" t="str">
        <v>→ 升階後</v>
      </c>
      <c r="C63" t="str">
        <v>二次升階P（一次TB觸發後再擲）</v>
      </c>
    </row>
    <row r="64">
      <c r="A64" t="str">
        <v>L4</v>
      </c>
      <c r="B64" t="str">
        <v>P4</v>
      </c>
      <c r="C64">
        <v>0.4</v>
      </c>
    </row>
    <row r="65">
      <c r="A65" t="str">
        <v>L3</v>
      </c>
      <c r="B65" t="str">
        <v>P4</v>
      </c>
      <c r="C65" t="str">
        <v/>
      </c>
    </row>
    <row r="66">
      <c r="A66" t="str">
        <v>L2</v>
      </c>
      <c r="B66" t="str">
        <v>P4</v>
      </c>
      <c r="C66" t="str">
        <v/>
      </c>
    </row>
    <row r="67">
      <c r="A67" t="str">
        <v>L1</v>
      </c>
      <c r="B67" t="str">
        <v>P4</v>
      </c>
      <c r="C67" t="str">
        <v/>
      </c>
    </row>
    <row r="68">
      <c r="A68" t="str">
        <v>P4</v>
      </c>
      <c r="B68" t="str">
        <v>P3</v>
      </c>
      <c r="C68" t="str">
        <v/>
      </c>
    </row>
    <row r="69">
      <c r="A69" t="str">
        <v>P3</v>
      </c>
      <c r="B69" t="str">
        <v>P2</v>
      </c>
      <c r="C69" t="str">
        <v/>
      </c>
    </row>
    <row r="70">
      <c r="A70" t="str">
        <v>P2</v>
      </c>
      <c r="B70" t="str">
        <v>P1</v>
      </c>
      <c r="C70" t="str">
        <v/>
      </c>
    </row>
    <row r="71">
      <c r="A71" t="str">
        <v>P1</v>
      </c>
      <c r="B71" t="str">
        <v>P1</v>
      </c>
      <c r="C71" t="str">
        <v/>
      </c>
    </row>
    <row r="73">
      <c r="A73" t="str">
        <v>解析式計算經驗修正因子（MODE_MATH tab 使用）</v>
      </c>
    </row>
    <row r="74">
      <c r="A74" t="str">
        <v>CASCADE_FACTOR</v>
      </c>
      <c r="B74">
        <v>1.35</v>
      </c>
      <c r="C74" t="str">
        <v>級聯平均乘效，由模擬校準（通常 1.3~1.5）</v>
      </c>
    </row>
    <row r="75">
      <c r="A75" t="str">
        <v>PHASE_A_AVG_SPINS</v>
      </c>
      <c r="B75">
        <v>3.2</v>
      </c>
      <c r="C75" t="str">
        <v>FG觸發時Phase A平均子spin數</v>
      </c>
    </row>
    <row r="77">
      <c r="A77" t="str">
        <v>══════════════════════════════════════════════════════</v>
      </c>
    </row>
    <row r="78">
      <c r="A78" t="str">
        <v>★ Main Game (MG)</v>
      </c>
    </row>
    <row r="79">
      <c r="A79" t="str">
        <v>══════════════════════════════════════════════════════</v>
      </c>
    </row>
    <row r="81">
      <c r="A81" t="str">
        <v>[情境概覽]</v>
      </c>
    </row>
    <row r="82">
      <c r="A82" t="str">
        <v>費用（× bet）</v>
      </c>
      <c r="B82">
        <v>1</v>
      </c>
    </row>
    <row r="83">
      <c r="A83" t="str">
        <v>目標 RTP</v>
      </c>
      <c r="B83" t="str">
        <v>97.5%</v>
      </c>
    </row>
    <row r="84">
      <c r="A84" t="str">
        <v>近失類型</v>
      </c>
      <c r="B84" t="str">
        <v>零獎（可以無中獎）</v>
      </c>
    </row>
    <row r="85">
      <c r="A85" t="str">
        <v>近失說明</v>
      </c>
      <c r="B85" t="str">
        <v>由符號權重自然形成，目標零獎率 65-70%</v>
      </c>
    </row>
    <row r="86">
      <c r="A86" t="str">
        <v>零獎目標比例</v>
      </c>
      <c r="B86" t="str">
        <v>67%</v>
      </c>
      <c r="C86" t="str">
        <v>（由符號權重自然形成，不獨立配置）</v>
      </c>
    </row>
    <row r="87">
      <c r="A87" t="str">
        <v>FG 觸發機率</v>
      </c>
      <c r="C87" t="str">
        <v>每次 spin 觸發 FG 的機率</v>
      </c>
    </row>
    <row r="88">
      <c r="A88" t="str">
        <v>Entry Toss 機率</v>
      </c>
      <c r="B88">
        <v>0.8</v>
      </c>
      <c r="C88" t="str">
        <v>觸發後翻硬幣決定是否進入 FG Loop</v>
      </c>
    </row>
    <row r="90">
      <c r="A90" t="str">
        <v>[賠率說明]</v>
      </c>
    </row>
    <row r="91">
      <c r="A91" t="str">
        <v>實際賠率 = BASE_PAYTABLE × PAYTABLE_SCALE（= 3.622），四情境共用，禁止 per-mode scale</v>
      </c>
    </row>
    <row r="93">
      <c r="A93" t="str">
        <v>[情境-符號權重]</v>
      </c>
    </row>
    <row r="94">
      <c r="A94" t="str">
        <v>符號權重（合計=90）</v>
      </c>
    </row>
    <row r="95">
      <c r="A95" t="str">
        <v>符號</v>
      </c>
      <c r="B95" t="str">
        <v>權重</v>
      </c>
      <c r="C95" t="str">
        <v>機率%</v>
      </c>
      <c r="D95" t="str">
        <v>說明</v>
      </c>
    </row>
    <row r="96">
      <c r="A96" t="str">
        <v>W</v>
      </c>
      <c r="B96">
        <v>3</v>
      </c>
      <c r="C96" t="str">
        <v>3.3%</v>
      </c>
      <c r="D96" t="str">
        <v>Wild（百搭）</v>
      </c>
    </row>
    <row r="97">
      <c r="A97" t="str">
        <v>SC</v>
      </c>
      <c r="B97">
        <v>3</v>
      </c>
      <c r="C97" t="str">
        <v>3.3%</v>
      </c>
      <c r="D97" t="str">
        <v>Scatter</v>
      </c>
    </row>
    <row r="98">
      <c r="A98" t="str">
        <v>P1</v>
      </c>
      <c r="B98">
        <v>6</v>
      </c>
      <c r="C98" t="str">
        <v>6.7%</v>
      </c>
      <c r="D98" t="str">
        <v>Zeus</v>
      </c>
    </row>
    <row r="99">
      <c r="A99" t="str">
        <v>P2</v>
      </c>
      <c r="B99">
        <v>6</v>
      </c>
      <c r="C99" t="str">
        <v>6.7%</v>
      </c>
      <c r="D99" t="str">
        <v>Pegasus</v>
      </c>
    </row>
    <row r="100">
      <c r="A100" t="str">
        <v>P3</v>
      </c>
      <c r="B100">
        <v>8</v>
      </c>
      <c r="C100" t="str">
        <v>8.9%</v>
      </c>
      <c r="D100" t="str">
        <v>Athena</v>
      </c>
    </row>
    <row r="101">
      <c r="A101" t="str">
        <v>P4</v>
      </c>
      <c r="B101">
        <v>10</v>
      </c>
      <c r="C101" t="str">
        <v>11.1%</v>
      </c>
      <c r="D101" t="str">
        <v>Eagle</v>
      </c>
    </row>
    <row r="102">
      <c r="A102" t="str">
        <v>L1</v>
      </c>
      <c r="B102">
        <v>13</v>
      </c>
      <c r="C102" t="str">
        <v>14.4%</v>
      </c>
      <c r="D102" t="str">
        <v>Z</v>
      </c>
    </row>
    <row r="103">
      <c r="A103" t="str">
        <v>L2</v>
      </c>
      <c r="B103">
        <v>13</v>
      </c>
      <c r="C103" t="str">
        <v>14.4%</v>
      </c>
      <c r="D103" t="str">
        <v>E</v>
      </c>
    </row>
    <row r="104">
      <c r="A104" t="str">
        <v>L3</v>
      </c>
      <c r="B104">
        <v>14</v>
      </c>
      <c r="C104" t="str">
        <v>15.6%</v>
      </c>
      <c r="D104" t="str">
        <v>U</v>
      </c>
    </row>
    <row r="105">
      <c r="A105" t="str">
        <v>L4</v>
      </c>
      <c r="B105">
        <v>14</v>
      </c>
      <c r="C105" t="str">
        <v>15.6%</v>
      </c>
      <c r="D105" t="str">
        <v>S</v>
      </c>
    </row>
    <row r="106">
      <c r="A106" t="str">
        <v>合計</v>
      </c>
      <c r="B106">
        <v>90</v>
      </c>
      <c r="C106" t="str">
        <v>100%</v>
      </c>
      <c r="D106" t="str">
        <v/>
      </c>
    </row>
    <row r="108">
      <c r="A108" t="str">
        <v>[實際賠率表 (有效賠率 = BASE × 3.622)]</v>
      </c>
    </row>
    <row r="109">
      <c r="A109" t="str">
        <v>符號</v>
      </c>
      <c r="B109" t="str">
        <v>3連實際賠率</v>
      </c>
      <c r="C109" t="str">
        <v>4連實際賠率</v>
      </c>
      <c r="D109" t="str">
        <v>5連實際賠率</v>
      </c>
      <c r="E109" t="str">
        <v>說明</v>
      </c>
    </row>
    <row r="110">
      <c r="A110" t="str">
        <v>W</v>
      </c>
      <c r="B110">
        <v>0.6157</v>
      </c>
      <c r="C110">
        <v>1.5575</v>
      </c>
      <c r="D110">
        <v>4.2377</v>
      </c>
      <c r="E110" t="str">
        <v>Wild(同P1)</v>
      </c>
    </row>
    <row r="111">
      <c r="A111" t="str">
        <v>P1</v>
      </c>
      <c r="B111">
        <v>0.6157</v>
      </c>
      <c r="C111">
        <v>1.5575</v>
      </c>
      <c r="D111">
        <v>4.2377</v>
      </c>
      <c r="E111" t="str">
        <v>Premium</v>
      </c>
    </row>
    <row r="112">
      <c r="A112" t="str">
        <v>P2</v>
      </c>
      <c r="B112">
        <v>0.3984</v>
      </c>
      <c r="C112">
        <v>0.9779</v>
      </c>
      <c r="D112">
        <v>2.4267</v>
      </c>
      <c r="E112" t="str">
        <v>Premium</v>
      </c>
    </row>
    <row r="113">
      <c r="A113" t="str">
        <v>P3</v>
      </c>
      <c r="B113">
        <v>0.326</v>
      </c>
      <c r="C113">
        <v>0.8331</v>
      </c>
      <c r="D113">
        <v>2.4267</v>
      </c>
      <c r="E113" t="str">
        <v>Premium</v>
      </c>
    </row>
    <row r="114">
      <c r="A114" t="str">
        <v>P4</v>
      </c>
      <c r="B114">
        <v>0.2535</v>
      </c>
      <c r="C114">
        <v>0.6157</v>
      </c>
      <c r="D114">
        <v>2.0645</v>
      </c>
      <c r="E114" t="str">
        <v>Premium</v>
      </c>
    </row>
    <row r="115">
      <c r="A115" t="str">
        <v>L1</v>
      </c>
      <c r="B115">
        <v>0.1087</v>
      </c>
      <c r="C115">
        <v>0.2535</v>
      </c>
      <c r="D115">
        <v>0.6157</v>
      </c>
      <c r="E115" t="str">
        <v>Low</v>
      </c>
    </row>
    <row r="116">
      <c r="A116" t="str">
        <v>L2</v>
      </c>
      <c r="B116">
        <v>0.1087</v>
      </c>
      <c r="C116">
        <v>0.2535</v>
      </c>
      <c r="D116">
        <v>0.6157</v>
      </c>
      <c r="E116" t="str">
        <v>Low</v>
      </c>
    </row>
    <row r="117">
      <c r="A117" t="str">
        <v>L3</v>
      </c>
      <c r="B117">
        <v>0.0724</v>
      </c>
      <c r="C117">
        <v>0.1811</v>
      </c>
      <c r="D117">
        <v>0.4709</v>
      </c>
      <c r="E117" t="str">
        <v>Low</v>
      </c>
    </row>
    <row r="118">
      <c r="A118" t="str">
        <v>L4</v>
      </c>
      <c r="B118">
        <v>0.0724</v>
      </c>
      <c r="C118">
        <v>0.1811</v>
      </c>
      <c r="D118">
        <v>0.4709</v>
      </c>
      <c r="E118" t="str">
        <v>Low</v>
      </c>
    </row>
    <row r="119">
      <c r="A119" t="str">
        <v>SC</v>
      </c>
      <c r="B119" t="str">
        <v>-</v>
      </c>
      <c r="C119" t="str">
        <v>-</v>
      </c>
      <c r="D119" t="str">
        <v>-</v>
      </c>
      <c r="E119" t="str">
        <v>無賠率</v>
      </c>
    </row>
    <row r="121">
      <c r="A121" t="str">
        <v>[連線數（列數展開）]</v>
      </c>
    </row>
    <row r="122">
      <c r="A122" t="str">
        <v>列數</v>
      </c>
      <c r="B122" t="str">
        <v>連線數</v>
      </c>
      <c r="C122" t="str">
        <v>觸發時機</v>
      </c>
    </row>
    <row r="123">
      <c r="A123">
        <v>3</v>
      </c>
      <c r="B123">
        <v>25</v>
      </c>
      <c r="C123" t="str">
        <v>每次 spin 起始</v>
      </c>
    </row>
    <row r="124">
      <c r="A124">
        <v>4</v>
      </c>
      <c r="B124">
        <v>33</v>
      </c>
      <c r="C124" t="str">
        <v>第1次 cascade 後</v>
      </c>
    </row>
    <row r="125">
      <c r="A125">
        <v>5</v>
      </c>
      <c r="B125">
        <v>45</v>
      </c>
      <c r="C125" t="str">
        <v>第2次 cascade 後</v>
      </c>
    </row>
    <row r="126">
      <c r="A126">
        <v>6</v>
      </c>
      <c r="B126">
        <v>57</v>
      </c>
      <c r="C126" t="str">
        <v>第3次 cascade 後（FG 全展開）</v>
      </c>
    </row>
    <row r="128">
      <c r="A128" t="str">
        <v>[近失獎項配置 Near Miss]</v>
      </c>
    </row>
    <row r="129">
      <c r="A129" t="str">
        <v>近失類型</v>
      </c>
      <c r="B129" t="str">
        <v>零獎（無中任何連線）</v>
      </c>
    </row>
    <row r="130">
      <c r="A130" t="str">
        <v>零獎目標</v>
      </c>
      <c r="B130" t="str">
        <v>67%</v>
      </c>
      <c r="C130" t="str">
        <v>由符號權重自然形成，調整 Wild/Premium 權重影響此值</v>
      </c>
    </row>
    <row r="131">
      <c r="A131" t="str">
        <v>體感說明</v>
      </c>
      <c r="B131" t="str">
        <v>每約 3 轉出現 1 次零獎（正常遊戲體感）</v>
      </c>
    </row>
    <row r="132">
      <c r="A132" t="str">
        <v>RTP 貢獻</v>
      </c>
      <c r="B132" t="str">
        <v>零獎貢獻 0，不影響期望值；但會影響體感頻率</v>
      </c>
    </row>
    <row r="133">
      <c r="A133" t="str">
        <v>調整方式</v>
      </c>
      <c r="B133" t="str">
        <v>↑ Wild 權重 → 降低零獎率；↓ Wild → 提高零獎率</v>
      </c>
    </row>
    <row r="135">
      <c r="A135" t="str">
        <v>══════════════════════════════════════════════════════</v>
      </c>
    </row>
    <row r="136">
      <c r="A136" t="str">
        <v>★ Extra Bet (EB)</v>
      </c>
    </row>
    <row r="137">
      <c r="A137" t="str">
        <v>══════════════════════════════════════════════════════</v>
      </c>
    </row>
    <row r="139">
      <c r="A139" t="str">
        <v>[情境概覽]</v>
      </c>
    </row>
    <row r="140">
      <c r="A140" t="str">
        <v>費用（× bet）</v>
      </c>
      <c r="B140">
        <v>3</v>
      </c>
    </row>
    <row r="141">
      <c r="A141" t="str">
        <v>目標 RTP</v>
      </c>
      <c r="B141" t="str">
        <v>97.5%</v>
      </c>
    </row>
    <row r="142">
      <c r="A142" t="str">
        <v>近失類型</v>
      </c>
      <c r="B142" t="str">
        <v>零獎（可以無中獎）</v>
      </c>
    </row>
    <row r="143">
      <c r="A143" t="str">
        <v>近失說明</v>
      </c>
      <c r="B143" t="str">
        <v>SC保證使每轉可見3列必有SC，零獎率稍低於 MG，目標 60-65%</v>
      </c>
    </row>
    <row r="144">
      <c r="A144" t="str">
        <v>零獎目標比例</v>
      </c>
      <c r="B144" t="str">
        <v>62%</v>
      </c>
      <c r="C144" t="str">
        <v>（由符號權重自然形成，不獨立配置）</v>
      </c>
    </row>
    <row r="145">
      <c r="A145" t="str">
        <v>SC 保證</v>
      </c>
      <c r="B145" t="str">
        <v>是</v>
      </c>
      <c r="C145" t="str">
        <v>每次 spin 可見 3 列保證有 SC</v>
      </c>
    </row>
    <row r="146">
      <c r="A146" t="str">
        <v>FG 觸發機率</v>
      </c>
      <c r="C146" t="str">
        <v>每次 spin 觸發 FG 的機率</v>
      </c>
    </row>
    <row r="147">
      <c r="A147" t="str">
        <v>Entry Toss 機率</v>
      </c>
      <c r="B147">
        <v>0.8</v>
      </c>
      <c r="C147" t="str">
        <v>觸發後翻硬幣決定是否進入 FG Loop</v>
      </c>
    </row>
    <row r="149">
      <c r="A149" t="str">
        <v>[賠率說明]</v>
      </c>
    </row>
    <row r="150">
      <c r="A150" t="str">
        <v>實際賠率 = BASE_PAYTABLE × PAYTABLE_SCALE（= 3.622），四情境共用，禁止 per-mode scale</v>
      </c>
    </row>
    <row r="152">
      <c r="A152" t="str">
        <v>[情境-符號權重]</v>
      </c>
    </row>
    <row r="153">
      <c r="A153" t="str">
        <v>符號權重（合計=90）</v>
      </c>
    </row>
    <row r="154">
      <c r="A154" t="str">
        <v>符號</v>
      </c>
      <c r="B154" t="str">
        <v>權重</v>
      </c>
      <c r="C154" t="str">
        <v>機率%</v>
      </c>
      <c r="D154" t="str">
        <v>說明</v>
      </c>
    </row>
    <row r="155">
      <c r="A155" t="str">
        <v>W</v>
      </c>
      <c r="B155">
        <v>4</v>
      </c>
      <c r="C155" t="str">
        <v>4.4%</v>
      </c>
      <c r="D155" t="str">
        <v>Wild（百搭）</v>
      </c>
    </row>
    <row r="156">
      <c r="A156" t="str">
        <v>SC</v>
      </c>
      <c r="B156">
        <v>8</v>
      </c>
      <c r="C156" t="str">
        <v>8.9%</v>
      </c>
      <c r="D156" t="str">
        <v>Scatter</v>
      </c>
    </row>
    <row r="157">
      <c r="A157" t="str">
        <v>P1</v>
      </c>
      <c r="B157">
        <v>7</v>
      </c>
      <c r="C157" t="str">
        <v>7.8%</v>
      </c>
      <c r="D157" t="str">
        <v>Zeus</v>
      </c>
    </row>
    <row r="158">
      <c r="A158" t="str">
        <v>P2</v>
      </c>
      <c r="B158">
        <v>8</v>
      </c>
      <c r="C158" t="str">
        <v>8.9%</v>
      </c>
      <c r="D158" t="str">
        <v>Pegasus</v>
      </c>
    </row>
    <row r="159">
      <c r="A159" t="str">
        <v>P3</v>
      </c>
      <c r="B159">
        <v>7</v>
      </c>
      <c r="C159" t="str">
        <v>7.8%</v>
      </c>
      <c r="D159" t="str">
        <v>Athena</v>
      </c>
    </row>
    <row r="160">
      <c r="A160" t="str">
        <v>P4</v>
      </c>
      <c r="B160">
        <v>9</v>
      </c>
      <c r="C160" t="str">
        <v>10.0%</v>
      </c>
      <c r="D160" t="str">
        <v>Eagle</v>
      </c>
    </row>
    <row r="161">
      <c r="A161" t="str">
        <v>L1</v>
      </c>
      <c r="B161">
        <v>10</v>
      </c>
      <c r="C161" t="str">
        <v>11.1%</v>
      </c>
      <c r="D161" t="str">
        <v>Z</v>
      </c>
    </row>
    <row r="162">
      <c r="A162" t="str">
        <v>L2</v>
      </c>
      <c r="B162">
        <v>11</v>
      </c>
      <c r="C162" t="str">
        <v>12.2%</v>
      </c>
      <c r="D162" t="str">
        <v>E</v>
      </c>
    </row>
    <row r="163">
      <c r="A163" t="str">
        <v>L3</v>
      </c>
      <c r="B163">
        <v>13</v>
      </c>
      <c r="C163" t="str">
        <v>14.4%</v>
      </c>
      <c r="D163" t="str">
        <v>U</v>
      </c>
    </row>
    <row r="164">
      <c r="A164" t="str">
        <v>L4</v>
      </c>
      <c r="B164">
        <v>13</v>
      </c>
      <c r="C164" t="str">
        <v>14.4%</v>
      </c>
      <c r="D164" t="str">
        <v>S</v>
      </c>
    </row>
    <row r="165">
      <c r="A165" t="str">
        <v>合計</v>
      </c>
      <c r="B165">
        <v>90</v>
      </c>
      <c r="C165" t="str">
        <v>100%</v>
      </c>
      <c r="D165" t="str">
        <v/>
      </c>
    </row>
    <row r="167">
      <c r="A167" t="str">
        <v>[實際賠率表 (有效賠率 = BASE × 3.622)]</v>
      </c>
    </row>
    <row r="168">
      <c r="A168" t="str">
        <v>符號</v>
      </c>
      <c r="B168" t="str">
        <v>3連實際賠率</v>
      </c>
      <c r="C168" t="str">
        <v>4連實際賠率</v>
      </c>
      <c r="D168" t="str">
        <v>5連實際賠率</v>
      </c>
      <c r="E168" t="str">
        <v>說明</v>
      </c>
    </row>
    <row r="169">
      <c r="A169" t="str">
        <v>W</v>
      </c>
      <c r="B169">
        <v>0.6157</v>
      </c>
      <c r="C169">
        <v>1.5575</v>
      </c>
      <c r="D169">
        <v>4.2377</v>
      </c>
      <c r="E169" t="str">
        <v>Wild(同P1)</v>
      </c>
    </row>
    <row r="170">
      <c r="A170" t="str">
        <v>P1</v>
      </c>
      <c r="B170">
        <v>0.6157</v>
      </c>
      <c r="C170">
        <v>1.5575</v>
      </c>
      <c r="D170">
        <v>4.2377</v>
      </c>
      <c r="E170" t="str">
        <v>Premium</v>
      </c>
    </row>
    <row r="171">
      <c r="A171" t="str">
        <v>P2</v>
      </c>
      <c r="B171">
        <v>0.3984</v>
      </c>
      <c r="C171">
        <v>0.9779</v>
      </c>
      <c r="D171">
        <v>2.4267</v>
      </c>
      <c r="E171" t="str">
        <v>Premium</v>
      </c>
    </row>
    <row r="172">
      <c r="A172" t="str">
        <v>P3</v>
      </c>
      <c r="B172">
        <v>0.326</v>
      </c>
      <c r="C172">
        <v>0.8331</v>
      </c>
      <c r="D172">
        <v>2.4267</v>
      </c>
      <c r="E172" t="str">
        <v>Premium</v>
      </c>
    </row>
    <row r="173">
      <c r="A173" t="str">
        <v>P4</v>
      </c>
      <c r="B173">
        <v>0.2535</v>
      </c>
      <c r="C173">
        <v>0.6157</v>
      </c>
      <c r="D173">
        <v>2.0645</v>
      </c>
      <c r="E173" t="str">
        <v>Premium</v>
      </c>
    </row>
    <row r="174">
      <c r="A174" t="str">
        <v>L1</v>
      </c>
      <c r="B174">
        <v>0.1087</v>
      </c>
      <c r="C174">
        <v>0.2535</v>
      </c>
      <c r="D174">
        <v>0.6157</v>
      </c>
      <c r="E174" t="str">
        <v>Low</v>
      </c>
    </row>
    <row r="175">
      <c r="A175" t="str">
        <v>L2</v>
      </c>
      <c r="B175">
        <v>0.1087</v>
      </c>
      <c r="C175">
        <v>0.2535</v>
      </c>
      <c r="D175">
        <v>0.6157</v>
      </c>
      <c r="E175" t="str">
        <v>Low</v>
      </c>
    </row>
    <row r="176">
      <c r="A176" t="str">
        <v>L3</v>
      </c>
      <c r="B176">
        <v>0.0724</v>
      </c>
      <c r="C176">
        <v>0.1811</v>
      </c>
      <c r="D176">
        <v>0.4709</v>
      </c>
      <c r="E176" t="str">
        <v>Low</v>
      </c>
    </row>
    <row r="177">
      <c r="A177" t="str">
        <v>L4</v>
      </c>
      <c r="B177">
        <v>0.0724</v>
      </c>
      <c r="C177">
        <v>0.1811</v>
      </c>
      <c r="D177">
        <v>0.4709</v>
      </c>
      <c r="E177" t="str">
        <v>Low</v>
      </c>
    </row>
    <row r="178">
      <c r="A178" t="str">
        <v>SC</v>
      </c>
      <c r="B178" t="str">
        <v>-</v>
      </c>
      <c r="C178" t="str">
        <v>-</v>
      </c>
      <c r="D178" t="str">
        <v>-</v>
      </c>
      <c r="E178" t="str">
        <v>無賠率</v>
      </c>
    </row>
    <row r="180">
      <c r="A180" t="str">
        <v>[連線數（列數展開）]</v>
      </c>
    </row>
    <row r="181">
      <c r="A181" t="str">
        <v>列數</v>
      </c>
      <c r="B181" t="str">
        <v>連線數</v>
      </c>
      <c r="C181" t="str">
        <v>觸發時機</v>
      </c>
    </row>
    <row r="182">
      <c r="A182">
        <v>3</v>
      </c>
      <c r="B182">
        <v>25</v>
      </c>
      <c r="C182" t="str">
        <v>每次 spin 起始</v>
      </c>
    </row>
    <row r="183">
      <c r="A183">
        <v>4</v>
      </c>
      <c r="B183">
        <v>33</v>
      </c>
      <c r="C183" t="str">
        <v>第1次 cascade 後</v>
      </c>
    </row>
    <row r="184">
      <c r="A184">
        <v>5</v>
      </c>
      <c r="B184">
        <v>45</v>
      </c>
      <c r="C184" t="str">
        <v>第2次 cascade 後</v>
      </c>
    </row>
    <row r="185">
      <c r="A185">
        <v>6</v>
      </c>
      <c r="B185">
        <v>57</v>
      </c>
      <c r="C185" t="str">
        <v>第3次 cascade 後（FG 全展開）</v>
      </c>
    </row>
    <row r="187">
      <c r="A187" t="str">
        <v>[近失獎項配置 Near Miss]</v>
      </c>
    </row>
    <row r="188">
      <c r="A188" t="str">
        <v>近失類型</v>
      </c>
      <c r="B188" t="str">
        <v>零獎（無中任何連線）</v>
      </c>
    </row>
    <row r="189">
      <c r="A189" t="str">
        <v>零獎目標</v>
      </c>
      <c r="B189" t="str">
        <v>62%</v>
      </c>
      <c r="C189" t="str">
        <v>由符號權重自然形成，調整 Wild/Premium 權重影響此值</v>
      </c>
    </row>
    <row r="190">
      <c r="A190" t="str">
        <v>體感說明</v>
      </c>
      <c r="B190" t="str">
        <v>每約 3 轉出現 1 次零獎（正常遊戲體感）</v>
      </c>
    </row>
    <row r="191">
      <c r="A191" t="str">
        <v>RTP 貢獻</v>
      </c>
      <c r="B191" t="str">
        <v>零獎貢獻 0，不影響期望值；但會影響體感頻率</v>
      </c>
    </row>
    <row r="192">
      <c r="A192" t="str">
        <v>調整方式</v>
      </c>
      <c r="B192" t="str">
        <v>↑ Wild 權重 → 降低零獎率；↓ Wild → 提高零獎率</v>
      </c>
    </row>
    <row r="194">
      <c r="A194" t="str">
        <v>══════════════════════════════════════════════════════</v>
      </c>
    </row>
    <row r="195">
      <c r="A195" t="str">
        <v>★ Buy Free Game (BuyFG)</v>
      </c>
    </row>
    <row r="196">
      <c r="A196" t="str">
        <v>══════════════════════════════════════════════════════</v>
      </c>
    </row>
    <row r="198">
      <c r="A198" t="str">
        <v>[情境概覽]</v>
      </c>
    </row>
    <row r="199">
      <c r="A199" t="str">
        <v>費用（× bet）</v>
      </c>
      <c r="B199">
        <v>100</v>
      </c>
    </row>
    <row r="200">
      <c r="A200" t="str">
        <v>目標 RTP</v>
      </c>
      <c r="B200" t="str">
        <v>97.5%</v>
      </c>
    </row>
    <row r="201">
      <c r="A201" t="str">
        <v>近失類型</v>
      </c>
      <c r="B201" t="str">
        <v>最小獎（無零獎）</v>
      </c>
    </row>
    <row r="202">
      <c r="A202" t="str">
        <v>近失說明</v>
      </c>
      <c r="B202" t="str">
        <v>無零獎情境：近失 = 最小獎（BUY_FG_MIN_WIN_MULT × bet）</v>
      </c>
    </row>
    <row r="203">
      <c r="A203" t="str">
        <v>最小保底獎金</v>
      </c>
      <c r="B203" t="str">
        <v>20× bet</v>
      </c>
      <c r="C203" t="str">
        <v>低於此值時補至此金額（地板保底）</v>
      </c>
    </row>
    <row r="204">
      <c r="A204" t="str">
        <v>零獎比例</v>
      </c>
      <c r="B204" t="str">
        <v>0%</v>
      </c>
      <c r="C204" t="str">
        <v>此情境不允許零獎</v>
      </c>
    </row>
    <row r="205">
      <c r="A205" t="str">
        <v>FG 方式</v>
      </c>
      <c r="B205" t="str">
        <v>保證5次FG spin（每級各一次）</v>
      </c>
      <c r="C205" t="str">
        <v>無 Entry Toss，無 Coin Toss</v>
      </c>
    </row>
    <row r="207">
      <c r="A207" t="str">
        <v>[賠率說明]</v>
      </c>
    </row>
    <row r="208">
      <c r="A208" t="str">
        <v>實際賠率 = BASE_PAYTABLE × PAYTABLE_SCALE（= 3.622），四情境共用，禁止 per-mode scale</v>
      </c>
    </row>
    <row r="210">
      <c r="A210" t="str">
        <v>[情境-符號權重]</v>
      </c>
    </row>
    <row r="211">
      <c r="A211" t="str">
        <v>符號權重（合計=90）</v>
      </c>
    </row>
    <row r="212">
      <c r="A212" t="str">
        <v>符號</v>
      </c>
      <c r="B212" t="str">
        <v>權重</v>
      </c>
      <c r="C212" t="str">
        <v>機率%</v>
      </c>
      <c r="D212" t="str">
        <v>說明</v>
      </c>
    </row>
    <row r="213">
      <c r="A213" t="str">
        <v>W</v>
      </c>
      <c r="B213">
        <v>2</v>
      </c>
      <c r="C213" t="str">
        <v>2.2%</v>
      </c>
      <c r="D213" t="str">
        <v>Wild（百搭）</v>
      </c>
    </row>
    <row r="214">
      <c r="A214" t="str">
        <v>SC</v>
      </c>
      <c r="B214">
        <v>4</v>
      </c>
      <c r="C214" t="str">
        <v>4.4%</v>
      </c>
      <c r="D214" t="str">
        <v>Scatter</v>
      </c>
    </row>
    <row r="215">
      <c r="A215" t="str">
        <v>P1</v>
      </c>
      <c r="B215">
        <v>2</v>
      </c>
      <c r="C215" t="str">
        <v>2.2%</v>
      </c>
      <c r="D215" t="str">
        <v>Zeus</v>
      </c>
    </row>
    <row r="216">
      <c r="A216" t="str">
        <v>P2</v>
      </c>
      <c r="B216">
        <v>3</v>
      </c>
      <c r="C216" t="str">
        <v>3.3%</v>
      </c>
      <c r="D216" t="str">
        <v>Pegasus</v>
      </c>
    </row>
    <row r="217">
      <c r="A217" t="str">
        <v>P3</v>
      </c>
      <c r="B217">
        <v>3</v>
      </c>
      <c r="C217" t="str">
        <v>3.3%</v>
      </c>
      <c r="D217" t="str">
        <v>Athena</v>
      </c>
    </row>
    <row r="218">
      <c r="A218" t="str">
        <v>P4</v>
      </c>
      <c r="B218">
        <v>6</v>
      </c>
      <c r="C218" t="str">
        <v>6.7%</v>
      </c>
      <c r="D218" t="str">
        <v>Eagle</v>
      </c>
    </row>
    <row r="219">
      <c r="A219" t="str">
        <v>L1</v>
      </c>
      <c r="B219">
        <v>14</v>
      </c>
      <c r="C219" t="str">
        <v>15.6%</v>
      </c>
      <c r="D219" t="str">
        <v>Z</v>
      </c>
    </row>
    <row r="220">
      <c r="A220" t="str">
        <v>L2</v>
      </c>
      <c r="B220">
        <v>14</v>
      </c>
      <c r="C220" t="str">
        <v>15.6%</v>
      </c>
      <c r="D220" t="str">
        <v>E</v>
      </c>
    </row>
    <row r="221">
      <c r="A221" t="str">
        <v>L3</v>
      </c>
      <c r="B221">
        <v>19</v>
      </c>
      <c r="C221" t="str">
        <v>21.1%</v>
      </c>
      <c r="D221" t="str">
        <v>U</v>
      </c>
    </row>
    <row r="222">
      <c r="A222" t="str">
        <v>L4</v>
      </c>
      <c r="B222">
        <v>23</v>
      </c>
      <c r="C222" t="str">
        <v>25.6%</v>
      </c>
      <c r="D222" t="str">
        <v>S</v>
      </c>
    </row>
    <row r="223">
      <c r="A223" t="str">
        <v>合計</v>
      </c>
      <c r="B223">
        <v>90</v>
      </c>
      <c r="C223" t="str">
        <v>100%</v>
      </c>
      <c r="D223" t="str">
        <v/>
      </c>
    </row>
    <row r="225">
      <c r="A225" t="str">
        <v>[實際賠率表 (有效賠率 = BASE × 3.622)]</v>
      </c>
    </row>
    <row r="226">
      <c r="A226" t="str">
        <v>符號</v>
      </c>
      <c r="B226" t="str">
        <v>3連實際賠率</v>
      </c>
      <c r="C226" t="str">
        <v>4連實際賠率</v>
      </c>
      <c r="D226" t="str">
        <v>5連實際賠率</v>
      </c>
      <c r="E226" t="str">
        <v>說明</v>
      </c>
    </row>
    <row r="227">
      <c r="A227" t="str">
        <v>W</v>
      </c>
      <c r="B227">
        <v>0.6157</v>
      </c>
      <c r="C227">
        <v>1.5575</v>
      </c>
      <c r="D227">
        <v>4.2377</v>
      </c>
      <c r="E227" t="str">
        <v>Wild(同P1)</v>
      </c>
    </row>
    <row r="228">
      <c r="A228" t="str">
        <v>P1</v>
      </c>
      <c r="B228">
        <v>0.6157</v>
      </c>
      <c r="C228">
        <v>1.5575</v>
      </c>
      <c r="D228">
        <v>4.2377</v>
      </c>
      <c r="E228" t="str">
        <v>Premium</v>
      </c>
    </row>
    <row r="229">
      <c r="A229" t="str">
        <v>P2</v>
      </c>
      <c r="B229">
        <v>0.3984</v>
      </c>
      <c r="C229">
        <v>0.9779</v>
      </c>
      <c r="D229">
        <v>2.4267</v>
      </c>
      <c r="E229" t="str">
        <v>Premium</v>
      </c>
    </row>
    <row r="230">
      <c r="A230" t="str">
        <v>P3</v>
      </c>
      <c r="B230">
        <v>0.326</v>
      </c>
      <c r="C230">
        <v>0.8331</v>
      </c>
      <c r="D230">
        <v>2.4267</v>
      </c>
      <c r="E230" t="str">
        <v>Premium</v>
      </c>
    </row>
    <row r="231">
      <c r="A231" t="str">
        <v>P4</v>
      </c>
      <c r="B231">
        <v>0.2535</v>
      </c>
      <c r="C231">
        <v>0.6157</v>
      </c>
      <c r="D231">
        <v>2.0645</v>
      </c>
      <c r="E231" t="str">
        <v>Premium</v>
      </c>
    </row>
    <row r="232">
      <c r="A232" t="str">
        <v>L1</v>
      </c>
      <c r="B232">
        <v>0.1087</v>
      </c>
      <c r="C232">
        <v>0.2535</v>
      </c>
      <c r="D232">
        <v>0.6157</v>
      </c>
      <c r="E232" t="str">
        <v>Low</v>
      </c>
    </row>
    <row r="233">
      <c r="A233" t="str">
        <v>L2</v>
      </c>
      <c r="B233">
        <v>0.1087</v>
      </c>
      <c r="C233">
        <v>0.2535</v>
      </c>
      <c r="D233">
        <v>0.6157</v>
      </c>
      <c r="E233" t="str">
        <v>Low</v>
      </c>
    </row>
    <row r="234">
      <c r="A234" t="str">
        <v>L3</v>
      </c>
      <c r="B234">
        <v>0.0724</v>
      </c>
      <c r="C234">
        <v>0.1811</v>
      </c>
      <c r="D234">
        <v>0.4709</v>
      </c>
      <c r="E234" t="str">
        <v>Low</v>
      </c>
    </row>
    <row r="235">
      <c r="A235" t="str">
        <v>L4</v>
      </c>
      <c r="B235">
        <v>0.0724</v>
      </c>
      <c r="C235">
        <v>0.1811</v>
      </c>
      <c r="D235">
        <v>0.4709</v>
      </c>
      <c r="E235" t="str">
        <v>Low</v>
      </c>
    </row>
    <row r="236">
      <c r="A236" t="str">
        <v>SC</v>
      </c>
      <c r="B236" t="str">
        <v>-</v>
      </c>
      <c r="C236" t="str">
        <v>-</v>
      </c>
      <c r="D236" t="str">
        <v>-</v>
      </c>
      <c r="E236" t="str">
        <v>無賠率</v>
      </c>
    </row>
    <row r="238">
      <c r="A238" t="str">
        <v>[連線數（列數展開）]</v>
      </c>
    </row>
    <row r="239">
      <c r="A239" t="str">
        <v>列數</v>
      </c>
      <c r="B239" t="str">
        <v>連線數</v>
      </c>
      <c r="C239" t="str">
        <v>觸發時機</v>
      </c>
    </row>
    <row r="240">
      <c r="A240">
        <v>3</v>
      </c>
      <c r="B240">
        <v>25</v>
      </c>
      <c r="C240" t="str">
        <v>每次 spin 起始</v>
      </c>
    </row>
    <row r="241">
      <c r="A241">
        <v>4</v>
      </c>
      <c r="B241">
        <v>33</v>
      </c>
      <c r="C241" t="str">
        <v>第1次 cascade 後</v>
      </c>
    </row>
    <row r="242">
      <c r="A242">
        <v>5</v>
      </c>
      <c r="B242">
        <v>45</v>
      </c>
      <c r="C242" t="str">
        <v>第2次 cascade 後</v>
      </c>
    </row>
    <row r="243">
      <c r="A243">
        <v>6</v>
      </c>
      <c r="B243">
        <v>57</v>
      </c>
      <c r="C243" t="str">
        <v>第3次 cascade 後（FG 全展開）</v>
      </c>
    </row>
    <row r="245">
      <c r="A245" t="str">
        <v>[近失獎項配置 Near Miss]</v>
      </c>
    </row>
    <row r="246">
      <c r="A246" t="str">
        <v>近失類型</v>
      </c>
      <c r="B246" t="str">
        <v>最小保底獎（地板保底）</v>
      </c>
    </row>
    <row r="247">
      <c r="A247" t="str">
        <v>最小獎金</v>
      </c>
      <c r="B247" t="str">
        <v>20× bet = 每 1× bet 押注最低獲得 20× 獎</v>
      </c>
    </row>
    <row r="248">
      <c r="A248" t="str">
        <v>近失機率目標</v>
      </c>
      <c r="B248" t="str">
        <v>5~15%（此比例內玩家獲得最小保底獎）</v>
      </c>
    </row>
    <row r="249">
      <c r="A249" t="str">
        <v>近失 RTP 貢獻</v>
      </c>
      <c r="B249" t="str">
        <v>≈ P(近失) × 20 × bet / 100 × bet</v>
      </c>
    </row>
    <row r="250">
      <c r="A250" t="str">
        <v>地板實現方式</v>
      </c>
      <c r="B250" t="str">
        <v>IF totalWin &lt; 20×bet → totalWin = 20×bet</v>
      </c>
    </row>
    <row r="251">
      <c r="A251" t="str">
        <v>調整最小獎</v>
      </c>
      <c r="B251" t="str">
        <v>修改 BUY_FG_MIN_WIN_MULT（DATA tab [情境概覽] 最小保底獎金）</v>
      </c>
    </row>
    <row r="252">
      <c r="A252" t="str">
        <v>調整近失率</v>
      </c>
      <c r="B252" t="str">
        <v>修改 BuyFG 符號權重（低 Wild → 降低命中率 → 更多近失情況）</v>
      </c>
    </row>
    <row r="254">
      <c r="A254" t="str">
        <v>══════════════════════════════════════════════════════</v>
      </c>
    </row>
    <row r="255">
      <c r="A255" t="str">
        <v>★ EB + Buy Free Game (EB+BuyFG)</v>
      </c>
    </row>
    <row r="256">
      <c r="A256" t="str">
        <v>══════════════════════════════════════════════════════</v>
      </c>
    </row>
    <row r="258">
      <c r="A258" t="str">
        <v>[情境概覽]</v>
      </c>
    </row>
    <row r="259">
      <c r="A259" t="str">
        <v>費用（× bet）</v>
      </c>
      <c r="B259">
        <v>100</v>
      </c>
    </row>
    <row r="260">
      <c r="A260" t="str">
        <v>目標 RTP</v>
      </c>
      <c r="B260" t="str">
        <v>97.5%</v>
      </c>
    </row>
    <row r="261">
      <c r="A261" t="str">
        <v>近失類型</v>
      </c>
      <c r="B261" t="str">
        <v>最小獎（無零獎）</v>
      </c>
    </row>
    <row r="262">
      <c r="A262" t="str">
        <v>近失說明</v>
      </c>
      <c r="B262" t="str">
        <v>無零獎情境，SC保證加持 Phase A 子spin，近失 = 最小獎</v>
      </c>
    </row>
    <row r="263">
      <c r="A263" t="str">
        <v>最小保底獎金</v>
      </c>
      <c r="B263" t="str">
        <v>20× bet</v>
      </c>
      <c r="C263" t="str">
        <v>低於此值時補至此金額（地板保底）</v>
      </c>
    </row>
    <row r="264">
      <c r="A264" t="str">
        <v>零獎比例</v>
      </c>
      <c r="B264" t="str">
        <v>0%</v>
      </c>
      <c r="C264" t="str">
        <v>此情境不允許零獎</v>
      </c>
    </row>
    <row r="265">
      <c r="A265" t="str">
        <v>SC 保證</v>
      </c>
      <c r="B265" t="str">
        <v>是</v>
      </c>
      <c r="C265" t="str">
        <v>每次 spin 可見 3 列保證有 SC</v>
      </c>
    </row>
    <row r="266">
      <c r="A266" t="str">
        <v>FG 方式</v>
      </c>
      <c r="B266" t="str">
        <v>保證5次FG spin（每級各一次）</v>
      </c>
      <c r="C266" t="str">
        <v>無 Entry Toss，無 Coin Toss</v>
      </c>
    </row>
    <row r="268">
      <c r="A268" t="str">
        <v>[賠率說明]</v>
      </c>
    </row>
    <row r="269">
      <c r="A269" t="str">
        <v>實際賠率 = BASE_PAYTABLE × PAYTABLE_SCALE（= 3.622），四情境共用，禁止 per-mode scale</v>
      </c>
    </row>
    <row r="271">
      <c r="A271" t="str">
        <v>[情境-符號權重]</v>
      </c>
    </row>
    <row r="272">
      <c r="A272" t="str">
        <v>注意：EB+BuyFG 情境的 Phase A（基底 spin）使用 EB 權重，FG 5-spin 使用 BuyFG 權重</v>
      </c>
    </row>
    <row r="273">
      <c r="A273" t="str">
        <v>Phase A 符號權重（合計=90）</v>
      </c>
    </row>
    <row r="274">
      <c r="A274" t="str">
        <v>符號</v>
      </c>
      <c r="B274" t="str">
        <v>權重</v>
      </c>
      <c r="C274" t="str">
        <v>機率%</v>
      </c>
      <c r="D274" t="str">
        <v>說明</v>
      </c>
    </row>
    <row r="275">
      <c r="A275" t="str">
        <v>W</v>
      </c>
      <c r="B275">
        <v>4</v>
      </c>
      <c r="C275" t="str">
        <v>4.4%</v>
      </c>
      <c r="D275" t="str">
        <v>Wild（百搭）</v>
      </c>
    </row>
    <row r="276">
      <c r="A276" t="str">
        <v>SC</v>
      </c>
      <c r="B276">
        <v>7</v>
      </c>
      <c r="C276" t="str">
        <v>7.8%</v>
      </c>
      <c r="D276" t="str">
        <v>Scatter</v>
      </c>
    </row>
    <row r="277">
      <c r="A277" t="str">
        <v>P1</v>
      </c>
      <c r="B277">
        <v>7</v>
      </c>
      <c r="C277" t="str">
        <v>7.8%</v>
      </c>
      <c r="D277" t="str">
        <v>Zeus</v>
      </c>
    </row>
    <row r="278">
      <c r="A278" t="str">
        <v>P2</v>
      </c>
      <c r="B278">
        <v>8</v>
      </c>
      <c r="C278" t="str">
        <v>8.9%</v>
      </c>
      <c r="D278" t="str">
        <v>Pegasus</v>
      </c>
    </row>
    <row r="279">
      <c r="A279" t="str">
        <v>P3</v>
      </c>
      <c r="B279">
        <v>8</v>
      </c>
      <c r="C279" t="str">
        <v>8.9%</v>
      </c>
      <c r="D279" t="str">
        <v>Athena</v>
      </c>
    </row>
    <row r="280">
      <c r="A280" t="str">
        <v>P4</v>
      </c>
      <c r="B280">
        <v>9</v>
      </c>
      <c r="C280" t="str">
        <v>10.0%</v>
      </c>
      <c r="D280" t="str">
        <v>Eagle</v>
      </c>
    </row>
    <row r="281">
      <c r="A281" t="str">
        <v>L1</v>
      </c>
      <c r="B281">
        <v>10</v>
      </c>
      <c r="C281" t="str">
        <v>11.1%</v>
      </c>
      <c r="D281" t="str">
        <v>Z</v>
      </c>
    </row>
    <row r="282">
      <c r="A282" t="str">
        <v>L2</v>
      </c>
      <c r="B282">
        <v>11</v>
      </c>
      <c r="C282" t="str">
        <v>12.2%</v>
      </c>
      <c r="D282" t="str">
        <v>E</v>
      </c>
    </row>
    <row r="283">
      <c r="A283" t="str">
        <v>L3</v>
      </c>
      <c r="B283">
        <v>13</v>
      </c>
      <c r="C283" t="str">
        <v>14.4%</v>
      </c>
      <c r="D283" t="str">
        <v>U</v>
      </c>
    </row>
    <row r="284">
      <c r="A284" t="str">
        <v>L4</v>
      </c>
      <c r="B284">
        <v>13</v>
      </c>
      <c r="C284" t="str">
        <v>14.4%</v>
      </c>
      <c r="D284" t="str">
        <v>S</v>
      </c>
    </row>
    <row r="285">
      <c r="A285" t="str">
        <v>合計</v>
      </c>
      <c r="B285">
        <v>90</v>
      </c>
      <c r="C285" t="str">
        <v>100%</v>
      </c>
      <c r="D285" t="str">
        <v/>
      </c>
    </row>
    <row r="287">
      <c r="A287" t="str">
        <v>FG 5-spin 符號權重（合計=90，低 Wild/Premium）</v>
      </c>
    </row>
    <row r="288">
      <c r="A288" t="str">
        <v>符號</v>
      </c>
      <c r="B288" t="str">
        <v>權重</v>
      </c>
      <c r="C288" t="str">
        <v>機率%</v>
      </c>
    </row>
    <row r="289">
      <c r="A289" t="str">
        <v>W</v>
      </c>
      <c r="B289">
        <v>2</v>
      </c>
      <c r="C289" t="str">
        <v>2.2%</v>
      </c>
    </row>
    <row r="290">
      <c r="A290" t="str">
        <v>SC</v>
      </c>
      <c r="B290">
        <v>4</v>
      </c>
      <c r="C290" t="str">
        <v>4.4%</v>
      </c>
    </row>
    <row r="291">
      <c r="A291" t="str">
        <v>P1</v>
      </c>
      <c r="B291">
        <v>2</v>
      </c>
      <c r="C291" t="str">
        <v>2.2%</v>
      </c>
    </row>
    <row r="292">
      <c r="A292" t="str">
        <v>P2</v>
      </c>
      <c r="B292">
        <v>3</v>
      </c>
      <c r="C292" t="str">
        <v>3.3%</v>
      </c>
    </row>
    <row r="293">
      <c r="A293" t="str">
        <v>P3</v>
      </c>
      <c r="B293">
        <v>3</v>
      </c>
      <c r="C293" t="str">
        <v>3.3%</v>
      </c>
    </row>
    <row r="294">
      <c r="A294" t="str">
        <v>P4</v>
      </c>
      <c r="B294">
        <v>6</v>
      </c>
      <c r="C294" t="str">
        <v>6.7%</v>
      </c>
    </row>
    <row r="295">
      <c r="A295" t="str">
        <v>L1</v>
      </c>
      <c r="B295">
        <v>14</v>
      </c>
      <c r="C295" t="str">
        <v>15.6%</v>
      </c>
    </row>
    <row r="296">
      <c r="A296" t="str">
        <v>L2</v>
      </c>
      <c r="B296">
        <v>14</v>
      </c>
      <c r="C296" t="str">
        <v>15.6%</v>
      </c>
    </row>
    <row r="297">
      <c r="A297" t="str">
        <v>L3</v>
      </c>
      <c r="B297">
        <v>19</v>
      </c>
      <c r="C297" t="str">
        <v>21.1%</v>
      </c>
    </row>
    <row r="298">
      <c r="A298" t="str">
        <v>L4</v>
      </c>
      <c r="B298">
        <v>23</v>
      </c>
      <c r="C298" t="str">
        <v>25.6%</v>
      </c>
    </row>
    <row r="299">
      <c r="A299" t="str">
        <v>合計</v>
      </c>
      <c r="B299">
        <v>90</v>
      </c>
      <c r="C299" t="str">
        <v>100%</v>
      </c>
    </row>
    <row r="301">
      <c r="A301" t="str">
        <v>[實際賠率表 (有效賠率 = BASE × 3.622)]</v>
      </c>
    </row>
    <row r="302">
      <c r="A302" t="str">
        <v>符號</v>
      </c>
      <c r="B302" t="str">
        <v>3連實際賠率</v>
      </c>
      <c r="C302" t="str">
        <v>4連實際賠率</v>
      </c>
      <c r="D302" t="str">
        <v>5連實際賠率</v>
      </c>
      <c r="E302" t="str">
        <v>說明</v>
      </c>
    </row>
    <row r="303">
      <c r="A303" t="str">
        <v>W</v>
      </c>
      <c r="B303">
        <v>0.6157</v>
      </c>
      <c r="C303">
        <v>1.5575</v>
      </c>
      <c r="D303">
        <v>4.2377</v>
      </c>
      <c r="E303" t="str">
        <v>Wild(同P1)</v>
      </c>
    </row>
    <row r="304">
      <c r="A304" t="str">
        <v>P1</v>
      </c>
      <c r="B304">
        <v>0.6157</v>
      </c>
      <c r="C304">
        <v>1.5575</v>
      </c>
      <c r="D304">
        <v>4.2377</v>
      </c>
      <c r="E304" t="str">
        <v>Premium</v>
      </c>
    </row>
    <row r="305">
      <c r="A305" t="str">
        <v>P2</v>
      </c>
      <c r="B305">
        <v>0.3984</v>
      </c>
      <c r="C305">
        <v>0.9779</v>
      </c>
      <c r="D305">
        <v>2.4267</v>
      </c>
      <c r="E305" t="str">
        <v>Premium</v>
      </c>
    </row>
    <row r="306">
      <c r="A306" t="str">
        <v>P3</v>
      </c>
      <c r="B306">
        <v>0.326</v>
      </c>
      <c r="C306">
        <v>0.8331</v>
      </c>
      <c r="D306">
        <v>2.4267</v>
      </c>
      <c r="E306" t="str">
        <v>Premium</v>
      </c>
    </row>
    <row r="307">
      <c r="A307" t="str">
        <v>P4</v>
      </c>
      <c r="B307">
        <v>0.2535</v>
      </c>
      <c r="C307">
        <v>0.6157</v>
      </c>
      <c r="D307">
        <v>2.0645</v>
      </c>
      <c r="E307" t="str">
        <v>Premium</v>
      </c>
    </row>
    <row r="308">
      <c r="A308" t="str">
        <v>L1</v>
      </c>
      <c r="B308">
        <v>0.1087</v>
      </c>
      <c r="C308">
        <v>0.2535</v>
      </c>
      <c r="D308">
        <v>0.6157</v>
      </c>
      <c r="E308" t="str">
        <v>Low</v>
      </c>
    </row>
    <row r="309">
      <c r="A309" t="str">
        <v>L2</v>
      </c>
      <c r="B309">
        <v>0.1087</v>
      </c>
      <c r="C309">
        <v>0.2535</v>
      </c>
      <c r="D309">
        <v>0.6157</v>
      </c>
      <c r="E309" t="str">
        <v>Low</v>
      </c>
    </row>
    <row r="310">
      <c r="A310" t="str">
        <v>L3</v>
      </c>
      <c r="B310">
        <v>0.0724</v>
      </c>
      <c r="C310">
        <v>0.1811</v>
      </c>
      <c r="D310">
        <v>0.4709</v>
      </c>
      <c r="E310" t="str">
        <v>Low</v>
      </c>
    </row>
    <row r="311">
      <c r="A311" t="str">
        <v>L4</v>
      </c>
      <c r="B311">
        <v>0.0724</v>
      </c>
      <c r="C311">
        <v>0.1811</v>
      </c>
      <c r="D311">
        <v>0.4709</v>
      </c>
      <c r="E311" t="str">
        <v>Low</v>
      </c>
    </row>
    <row r="312">
      <c r="A312" t="str">
        <v>SC</v>
      </c>
      <c r="B312" t="str">
        <v>-</v>
      </c>
      <c r="C312" t="str">
        <v>-</v>
      </c>
      <c r="D312" t="str">
        <v>-</v>
      </c>
      <c r="E312" t="str">
        <v>無賠率</v>
      </c>
    </row>
    <row r="314">
      <c r="A314" t="str">
        <v>[連線數（列數展開）]</v>
      </c>
    </row>
    <row r="315">
      <c r="A315" t="str">
        <v>列數</v>
      </c>
      <c r="B315" t="str">
        <v>連線數</v>
      </c>
      <c r="C315" t="str">
        <v>觸發時機</v>
      </c>
    </row>
    <row r="316">
      <c r="A316">
        <v>3</v>
      </c>
      <c r="B316">
        <v>25</v>
      </c>
      <c r="C316" t="str">
        <v>每次 spin 起始</v>
      </c>
    </row>
    <row r="317">
      <c r="A317">
        <v>4</v>
      </c>
      <c r="B317">
        <v>33</v>
      </c>
      <c r="C317" t="str">
        <v>第1次 cascade 後</v>
      </c>
    </row>
    <row r="318">
      <c r="A318">
        <v>5</v>
      </c>
      <c r="B318">
        <v>45</v>
      </c>
      <c r="C318" t="str">
        <v>第2次 cascade 後</v>
      </c>
    </row>
    <row r="319">
      <c r="A319">
        <v>6</v>
      </c>
      <c r="B319">
        <v>57</v>
      </c>
      <c r="C319" t="str">
        <v>第3次 cascade 後（FG 全展開）</v>
      </c>
    </row>
    <row r="321">
      <c r="A321" t="str">
        <v>[近失獎項配置 Near Miss]</v>
      </c>
    </row>
    <row r="322">
      <c r="A322" t="str">
        <v>近失類型</v>
      </c>
      <c r="B322" t="str">
        <v>最小保底獎（地板保底）</v>
      </c>
    </row>
    <row r="323">
      <c r="A323" t="str">
        <v>最小獎金</v>
      </c>
      <c r="B323" t="str">
        <v>20× bet = 每 1× bet 押注最低獲得 20× 獎</v>
      </c>
    </row>
    <row r="324">
      <c r="A324" t="str">
        <v>近失機率目標</v>
      </c>
      <c r="B324" t="str">
        <v>5~15%（此比例內玩家獲得最小保底獎）</v>
      </c>
    </row>
    <row r="325">
      <c r="A325" t="str">
        <v>近失 RTP 貢獻</v>
      </c>
      <c r="B325" t="str">
        <v>≈ P(近失) × 20 × bet / 100 × bet</v>
      </c>
    </row>
    <row r="326">
      <c r="A326" t="str">
        <v>地板實現方式</v>
      </c>
      <c r="B326" t="str">
        <v>IF totalWin &lt; 20×bet → totalWin = 20×bet</v>
      </c>
    </row>
    <row r="327">
      <c r="A327" t="str">
        <v>調整最小獎</v>
      </c>
      <c r="B327" t="str">
        <v>修改 BUY_FG_MIN_WIN_MULT（DATA tab [情境概覽] 最小保底獎金）</v>
      </c>
    </row>
    <row r="328">
      <c r="A328" t="str">
        <v>調整近失率</v>
      </c>
      <c r="B328" t="str">
        <v>修改 BuyFG 符號權重（低 Wild → 降低命中率 → 更多近失情況）</v>
      </c>
    </row>
    <row r="330">
      <c r="A330" t="str">
        <v>══════════════════════════════════════════════════════</v>
      </c>
    </row>
    <row r="331">
      <c r="A331" t="str">
        <v>★ 模擬器讀取區（excel_simulator.js 使用，請勿手動修改）</v>
      </c>
    </row>
    <row r="332">
      <c r="A332" t="str">
        <v>══════════════════════════════════════════════════════</v>
      </c>
    </row>
    <row r="334">
      <c r="A334" t="str">
        <v>[Paytable基礎倍率]</v>
      </c>
      <c r="B334" t="str">
        <v/>
      </c>
      <c r="C334" t="str">
        <v>基礎賠率（excel_simulator.js 讀取用）</v>
      </c>
    </row>
    <row r="335">
      <c r="A335" t="str">
        <v>符號</v>
      </c>
      <c r="B335" t="str">
        <v>說明</v>
      </c>
      <c r="C335" t="str">
        <v>3連</v>
      </c>
      <c r="D335" t="str">
        <v>4連</v>
      </c>
      <c r="E335" t="str">
        <v>5連</v>
      </c>
    </row>
    <row r="336">
      <c r="A336" t="str">
        <v>W</v>
      </c>
      <c r="B336" t="str">
        <v>Wild</v>
      </c>
      <c r="C336">
        <v>0.17</v>
      </c>
      <c r="D336">
        <v>0.43</v>
      </c>
      <c r="E336">
        <v>1.17</v>
      </c>
    </row>
    <row r="337">
      <c r="A337" t="str">
        <v>P1</v>
      </c>
      <c r="B337" t="str">
        <v>Zeus</v>
      </c>
      <c r="C337">
        <v>0.17</v>
      </c>
      <c r="D337">
        <v>0.43</v>
      </c>
      <c r="E337">
        <v>1.17</v>
      </c>
    </row>
    <row r="338">
      <c r="A338" t="str">
        <v>P2</v>
      </c>
      <c r="B338" t="str">
        <v>Pegasus</v>
      </c>
      <c r="C338">
        <v>0.11</v>
      </c>
      <c r="D338">
        <v>0.27</v>
      </c>
      <c r="E338">
        <v>0.67</v>
      </c>
    </row>
    <row r="339">
      <c r="A339" t="str">
        <v>P3</v>
      </c>
      <c r="B339" t="str">
        <v>Athena</v>
      </c>
      <c r="C339">
        <v>0.09</v>
      </c>
      <c r="D339">
        <v>0.23</v>
      </c>
      <c r="E339">
        <v>0.67</v>
      </c>
    </row>
    <row r="340">
      <c r="A340" t="str">
        <v>P4</v>
      </c>
      <c r="B340" t="str">
        <v>Eagle</v>
      </c>
      <c r="C340">
        <v>0.07</v>
      </c>
      <c r="D340">
        <v>0.17</v>
      </c>
      <c r="E340">
        <v>0.57</v>
      </c>
    </row>
    <row r="341">
      <c r="A341" t="str">
        <v>L1</v>
      </c>
      <c r="B341" t="str">
        <v>Z</v>
      </c>
      <c r="C341">
        <v>0.03</v>
      </c>
      <c r="D341">
        <v>0.07</v>
      </c>
      <c r="E341">
        <v>0.17</v>
      </c>
    </row>
    <row r="342">
      <c r="A342" t="str">
        <v>L2</v>
      </c>
      <c r="B342" t="str">
        <v>E</v>
      </c>
      <c r="C342">
        <v>0.03</v>
      </c>
      <c r="D342">
        <v>0.07</v>
      </c>
      <c r="E342">
        <v>0.17</v>
      </c>
    </row>
    <row r="343">
      <c r="A343" t="str">
        <v>L3</v>
      </c>
      <c r="B343" t="str">
        <v>U</v>
      </c>
      <c r="C343">
        <v>0.02</v>
      </c>
      <c r="D343">
        <v>0.05</v>
      </c>
      <c r="E343">
        <v>0.13</v>
      </c>
    </row>
    <row r="344">
      <c r="A344" t="str">
        <v>L4</v>
      </c>
      <c r="B344" t="str">
        <v>S</v>
      </c>
      <c r="C344">
        <v>0.02</v>
      </c>
      <c r="D344">
        <v>0.05</v>
      </c>
      <c r="E344">
        <v>0.13</v>
      </c>
    </row>
    <row r="345">
      <c r="A345" t="str">
        <v>SC</v>
      </c>
      <c r="B345" t="str">
        <v>Scatter</v>
      </c>
      <c r="C345" t="str">
        <v>-</v>
      </c>
      <c r="D345" t="str">
        <v>-</v>
      </c>
      <c r="E345" t="str">
        <v>-</v>
      </c>
    </row>
    <row r="347">
      <c r="A347" t="str">
        <v>[模式校準倍率 PAYOUT_SCALE]</v>
      </c>
      <c r="B347" t="str">
        <v/>
      </c>
      <c r="C347" t="str">
        <v>PAYTABLE_SCALE = 全域賠率密度係數（唯一允許的 scale，由符號比重與 paytable 設計決定）</v>
      </c>
    </row>
    <row r="348">
      <c r="A348" t="str">
        <v>PAYTABLE_SCALE</v>
      </c>
      <c r="B348">
        <v>3.622</v>
      </c>
      <c r="C348" t="str">
        <v>全域 paytable 密度係數，四情境共用</v>
      </c>
    </row>
    <row r="350">
      <c r="A350" t="str">
        <v>[符號機率權重]</v>
      </c>
      <c r="B350" t="str">
        <v/>
      </c>
      <c r="C350" t="str">
        <v>四情境各自權重（合計需為 90）</v>
      </c>
    </row>
    <row r="351">
      <c r="A351" t="str">
        <v>符號</v>
      </c>
      <c r="B351" t="str">
        <v>Main Game</v>
      </c>
      <c r="C351" t="str">
        <v>Extra Bet</v>
      </c>
      <c r="D351" t="str">
        <v>Free Game</v>
      </c>
      <c r="E351" t="str">
        <v>Buy FG</v>
      </c>
    </row>
    <row r="352">
      <c r="A352" t="str">
        <v>W</v>
      </c>
      <c r="B352">
        <v>3</v>
      </c>
      <c r="C352">
        <v>4</v>
      </c>
      <c r="D352">
        <v>4</v>
      </c>
      <c r="E352">
        <v>2</v>
      </c>
    </row>
    <row r="353">
      <c r="A353" t="str">
        <v>SC</v>
      </c>
      <c r="B353">
        <v>2</v>
      </c>
      <c r="C353">
        <v>7</v>
      </c>
      <c r="D353">
        <v>6</v>
      </c>
      <c r="E353">
        <v>4</v>
      </c>
    </row>
    <row r="354">
      <c r="A354" t="str">
        <v>P1</v>
      </c>
      <c r="B354">
        <v>6</v>
      </c>
      <c r="C354">
        <v>7</v>
      </c>
      <c r="D354">
        <v>9</v>
      </c>
      <c r="E354">
        <v>2</v>
      </c>
    </row>
    <row r="355">
      <c r="A355" t="str">
        <v>P2</v>
      </c>
      <c r="B355">
        <v>7</v>
      </c>
      <c r="C355">
        <v>8</v>
      </c>
      <c r="D355">
        <v>10</v>
      </c>
      <c r="E355">
        <v>3</v>
      </c>
    </row>
    <row r="356">
      <c r="A356" t="str">
        <v>P3</v>
      </c>
      <c r="B356">
        <v>8</v>
      </c>
      <c r="C356">
        <v>8</v>
      </c>
      <c r="D356">
        <v>11</v>
      </c>
      <c r="E356">
        <v>3</v>
      </c>
    </row>
    <row r="357">
      <c r="A357" t="str">
        <v>P4</v>
      </c>
      <c r="B357">
        <v>10</v>
      </c>
      <c r="C357">
        <v>9</v>
      </c>
      <c r="D357">
        <v>12</v>
      </c>
      <c r="E357">
        <v>6</v>
      </c>
    </row>
    <row r="358">
      <c r="A358" t="str">
        <v>L1</v>
      </c>
      <c r="B358">
        <v>13</v>
      </c>
      <c r="C358">
        <v>10</v>
      </c>
      <c r="D358">
        <v>9</v>
      </c>
      <c r="E358">
        <v>14</v>
      </c>
    </row>
    <row r="359">
      <c r="A359" t="str">
        <v>L2</v>
      </c>
      <c r="B359">
        <v>13</v>
      </c>
      <c r="C359">
        <v>11</v>
      </c>
      <c r="D359">
        <v>9</v>
      </c>
      <c r="E359">
        <v>14</v>
      </c>
    </row>
    <row r="360">
      <c r="A360" t="str">
        <v>L3</v>
      </c>
      <c r="B360">
        <v>14</v>
      </c>
      <c r="C360">
        <v>13</v>
      </c>
      <c r="D360">
        <v>10</v>
      </c>
      <c r="E360">
        <v>19</v>
      </c>
    </row>
    <row r="361">
      <c r="A361" t="str">
        <v>L4</v>
      </c>
      <c r="B361">
        <v>14</v>
      </c>
      <c r="C361">
        <v>13</v>
      </c>
      <c r="D361">
        <v>10</v>
      </c>
      <c r="E361">
        <v>23</v>
      </c>
    </row>
    <row r="362">
      <c r="A362" t="str">
        <v>合計</v>
      </c>
      <c r="B362">
        <v>90</v>
      </c>
      <c r="C362">
        <v>90</v>
      </c>
      <c r="D362">
        <v>90</v>
      </c>
      <c r="E362">
        <v>90</v>
      </c>
    </row>
    <row r="364">
      <c r="A364" t="str">
        <v>[FG 倍率階梯 &amp; Coin Toss 升級機率]</v>
      </c>
    </row>
    <row r="365">
      <c r="A365" t="str">
        <v>等級</v>
      </c>
      <c r="B365" t="str">
        <v>倍率</v>
      </c>
      <c r="C365" t="str">
        <v>Coin Toss 正面機率</v>
      </c>
    </row>
    <row r="366">
      <c r="A366">
        <v>1</v>
      </c>
      <c r="B366">
        <v>3</v>
      </c>
      <c r="C366">
        <v>0.8</v>
      </c>
    </row>
    <row r="367">
      <c r="A367">
        <v>2</v>
      </c>
      <c r="B367">
        <v>7</v>
      </c>
      <c r="C367">
        <v>0.68</v>
      </c>
    </row>
    <row r="368">
      <c r="A368">
        <v>3</v>
      </c>
      <c r="B368">
        <v>17</v>
      </c>
      <c r="C368">
        <v>0.56</v>
      </c>
    </row>
    <row r="369">
      <c r="A369">
        <v>4</v>
      </c>
      <c r="B369">
        <v>27</v>
      </c>
      <c r="C369">
        <v>0.48</v>
      </c>
    </row>
    <row r="370">
      <c r="A370">
        <v>5</v>
      </c>
      <c r="B370">
        <v>77</v>
      </c>
      <c r="C370">
        <v>0.4</v>
      </c>
    </row>
    <row r="372">
      <c r="A372" t="str">
        <v>[Entry Coin Toss 機率]</v>
      </c>
    </row>
    <row r="373">
      <c r="A373" t="str">
        <v>Main / Extra Bet 進入 FG</v>
      </c>
      <c r="B373">
        <v>0.8</v>
      </c>
    </row>
    <row r="374">
      <c r="A374" t="str">
        <v>Buy FG 進入 FG</v>
      </c>
      <c r="B374">
        <v>1</v>
      </c>
      <c r="C374" t="str">
        <v>100% 保證進入</v>
      </c>
    </row>
    <row r="376">
      <c r="A376" t="str">
        <v>[特殊機率參數]</v>
      </c>
    </row>
    <row r="377">
      <c r="A377" t="str">
        <v>FG_TRIGGER_PROB</v>
      </c>
      <c r="B377">
        <v>0.009081</v>
      </c>
      <c r="C377" t="str">
        <v>（EB/全域，由EB符號比重×cascade鏈推導，禁止手動修改）</v>
      </c>
    </row>
    <row r="378">
      <c r="A378" t="str">
        <v>MG_FG_TRIGGER_PROB</v>
      </c>
      <c r="B378">
        <v>0.009624</v>
      </c>
      <c r="C378" t="str">
        <v>（MG專用，由MG符號比重×cascade鏈推導，禁止手動修改）</v>
      </c>
    </row>
    <row r="379">
      <c r="A379" t="str">
        <v>TB_SECOND_HIT_PROB</v>
      </c>
      <c r="B379">
        <v>0.4</v>
      </c>
    </row>
    <row r="380">
      <c r="A380" t="str">
        <v>EXTRA_BET_MULT</v>
      </c>
      <c r="B380">
        <v>3</v>
      </c>
    </row>
    <row r="381">
      <c r="A381" t="str">
        <v>BUY_COST_MULT</v>
      </c>
      <c r="B381">
        <v>100</v>
      </c>
    </row>
    <row r="382">
      <c r="A382" t="str">
        <v>BUY_FG_MIN_WIN_MULT</v>
      </c>
      <c r="B382">
        <v>20</v>
      </c>
    </row>
    <row r="383">
      <c r="A383" t="str">
        <v>SC_GUARANTEE_EXTRA_BET</v>
      </c>
      <c r="B383" t="str">
        <v>TRUE</v>
      </c>
    </row>
    <row r="385">
      <c r="A385" t="str">
        <v>[FG Spin Bonus分布]</v>
      </c>
    </row>
    <row r="386">
      <c r="A386" t="str">
        <v>倍率</v>
      </c>
      <c r="B386" t="str">
        <v>權重</v>
      </c>
      <c r="C386" t="str">
        <v>機率</v>
      </c>
    </row>
    <row r="387">
      <c r="A387">
        <v>1</v>
      </c>
      <c r="B387">
        <v>900</v>
      </c>
      <c r="C387" t="str">
        <v>90.00%</v>
      </c>
    </row>
    <row r="388">
      <c r="A388">
        <v>5</v>
      </c>
      <c r="B388">
        <v>80</v>
      </c>
      <c r="C388" t="str">
        <v>8.00%</v>
      </c>
    </row>
    <row r="389">
      <c r="A389">
        <v>20</v>
      </c>
      <c r="B389">
        <v>15</v>
      </c>
      <c r="C389" t="str">
        <v>1.50%</v>
      </c>
    </row>
    <row r="390">
      <c r="A390">
        <v>100</v>
      </c>
      <c r="B390">
        <v>5</v>
      </c>
      <c r="C390" t="str">
        <v>0.50%</v>
      </c>
    </row>
    <row r="392">
      <c r="A392" t="str">
        <v>[雷霆祝福升階表]</v>
      </c>
    </row>
    <row r="393">
      <c r="A393" t="str">
        <v>原符號</v>
      </c>
      <c r="B393" t="str">
        <v>升階後</v>
      </c>
    </row>
    <row r="394">
      <c r="A394" t="str">
        <v>L4</v>
      </c>
      <c r="B394" t="str">
        <v>P4</v>
      </c>
    </row>
    <row r="395">
      <c r="A395" t="str">
        <v>L3</v>
      </c>
      <c r="B395" t="str">
        <v>P4</v>
      </c>
    </row>
    <row r="396">
      <c r="A396" t="str">
        <v>L2</v>
      </c>
      <c r="B396" t="str">
        <v>P4</v>
      </c>
    </row>
    <row r="397">
      <c r="A397" t="str">
        <v>L1</v>
      </c>
      <c r="B397" t="str">
        <v>P4</v>
      </c>
    </row>
    <row r="398">
      <c r="A398" t="str">
        <v>P4</v>
      </c>
      <c r="B398" t="str">
        <v>P3</v>
      </c>
    </row>
    <row r="399">
      <c r="A399" t="str">
        <v>P3</v>
      </c>
      <c r="B399" t="str">
        <v>P2</v>
      </c>
    </row>
    <row r="400">
      <c r="A400" t="str">
        <v>P2</v>
      </c>
      <c r="B400" t="str">
        <v>P1</v>
      </c>
    </row>
    <row r="401">
      <c r="A401" t="str">
        <v>P1</v>
      </c>
      <c r="B401" t="str">
        <v>P1</v>
      </c>
    </row>
    <row r="403">
      <c r="A403" t="str">
        <v>[連線數與列數對應]</v>
      </c>
    </row>
    <row r="404">
      <c r="A404" t="str">
        <v>可見列數</v>
      </c>
      <c r="B404" t="str">
        <v>有效連線數</v>
      </c>
    </row>
    <row r="405">
      <c r="A405">
        <v>3</v>
      </c>
      <c r="B405">
        <v>25</v>
      </c>
    </row>
    <row r="406">
      <c r="A406">
        <v>4</v>
      </c>
      <c r="B406">
        <v>33</v>
      </c>
    </row>
    <row r="407">
      <c r="A407">
        <v>5</v>
      </c>
      <c r="B407">
        <v>45</v>
      </c>
    </row>
    <row r="408">
      <c r="A408">
        <v>6</v>
      </c>
      <c r="B408">
        <v>57</v>
      </c>
    </row>
    <row r="410">
      <c r="A410" t="str">
        <v>[幣種押注範圍]</v>
      </c>
      <c r="B410" t="str">
        <v/>
      </c>
      <c r="C410" t="str">
        <v>各幣種獨立押注設定，由 BetRangeService 讀取（禁止程式碼硬編碼）</v>
      </c>
    </row>
    <row r="411">
      <c r="A411" t="str">
        <v>幣種</v>
      </c>
      <c r="B411" t="str">
        <v>baseUnit</v>
      </c>
      <c r="C411" t="str">
        <v>minLevel</v>
      </c>
      <c r="D411" t="str">
        <v>maxLevel</v>
      </c>
      <c r="E411" t="str">
        <v>stepLevel</v>
      </c>
      <c r="F411" t="str">
        <v>玩家押注範圍（參考）</v>
      </c>
    </row>
    <row r="412">
      <c r="A412" t="str">
        <v>USD</v>
      </c>
      <c r="B412" t="str">
        <v>0.01</v>
      </c>
      <c r="C412">
        <v>25</v>
      </c>
      <c r="D412">
        <v>1000</v>
      </c>
      <c r="E412">
        <v>25</v>
      </c>
      <c r="F412" t="str">
        <v>USD 0.25 ~ 10.00，step 0.25（40 個 level）</v>
      </c>
    </row>
    <row r="413">
      <c r="A413" t="str">
        <v>TWD</v>
      </c>
      <c r="B413" t="str">
        <v>1</v>
      </c>
      <c r="C413">
        <v>10</v>
      </c>
      <c r="D413">
        <v>320</v>
      </c>
      <c r="E413">
        <v>10</v>
      </c>
      <c r="F413" t="str">
        <v>TWD 10.00 ~ 320.00，step 10.00（32 個 level）</v>
      </c>
    </row>
  </sheetData>
  <ignoredErrors>
    <ignoredError numberStoredAsText="1" sqref="A1:F41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G12"/>
  <sheetViews>
    <sheetView workbookViewId="0" rightToLeft="0"/>
  </sheetViews>
  <cols>
    <col min="1" max="1" width="18.83203125" customWidth="1"/>
    <col min="2" max="2" width="14.83203125" customWidth="1"/>
    <col min="3" max="3" width="10.83203125" customWidth="1"/>
    <col min="4" max="4" width="10.83203125" customWidth="1"/>
    <col min="5" max="5" width="16.83203125" customWidth="1"/>
    <col min="6" max="6" width="22.83203125" customWidth="1"/>
    <col min="7" max="7" width="22.83203125" customWidth="1"/>
  </cols>
  <sheetData>
    <row r="1">
      <c r="A1" t="str">
        <v>SIMULATION Tab — 由 excel_simulator.js 自動寫入</v>
      </c>
    </row>
    <row r="2">
      <c r="A2" t="str">
        <v/>
      </c>
    </row>
    <row r="3">
      <c r="A3" t="str">
        <v>執行方式：</v>
      </c>
      <c r="B3" t="str">
        <v>node tools/slot-engine/excel_simulator.js --spins=200000 --runs=1</v>
      </c>
    </row>
    <row r="4">
      <c r="A4" t="str">
        <v/>
      </c>
    </row>
    <row r="5">
      <c r="A5" t="str">
        <v>模式</v>
      </c>
      <c r="B5" t="str">
        <v>模擬轉數</v>
      </c>
      <c r="C5" t="str">
        <v>RTP</v>
      </c>
      <c r="D5" t="str">
        <v>命中率</v>
      </c>
      <c r="E5" t="str">
        <v>最高倍數</v>
      </c>
      <c r="F5" t="str">
        <v>平均倍數(原始)</v>
      </c>
      <c r="G5" t="str">
        <v>最後更新</v>
      </c>
    </row>
    <row r="6">
      <c r="A6" t="str">
        <v>Main Game</v>
      </c>
      <c r="B6" t="str">
        <v>200,000</v>
      </c>
      <c r="C6" t="str">
        <v>88.67%</v>
      </c>
      <c r="D6" t="str">
        <v>34.74%</v>
      </c>
      <c r="E6" t="str">
        <v>8927.76× bet</v>
      </c>
      <c r="F6" t="str">
        <v>0.8867× bet (before scale/cost)</v>
      </c>
      <c r="G6" t="str">
        <v>2026-04-09 19:13:37</v>
      </c>
    </row>
    <row r="7">
      <c r="A7" t="str">
        <v>Extra Bet</v>
      </c>
      <c r="B7" t="str">
        <v>200,000</v>
      </c>
      <c r="C7" t="str">
        <v>88.17%</v>
      </c>
      <c r="D7" t="str">
        <v>31.50%</v>
      </c>
      <c r="E7" t="str">
        <v>16312.15× bet</v>
      </c>
      <c r="F7" t="str">
        <v>2.6452× bet (before scale/cost)</v>
      </c>
      <c r="G7" t="str">
        <v>2026-04-09 19:13:37</v>
      </c>
    </row>
    <row r="8">
      <c r="A8" t="str">
        <v>Buy FG</v>
      </c>
      <c r="B8" t="str">
        <v>200,000</v>
      </c>
      <c r="C8" t="str">
        <v>96.82%</v>
      </c>
      <c r="D8" t="str">
        <v>100.00%</v>
      </c>
      <c r="E8" t="str">
        <v>21762.75× bet</v>
      </c>
      <c r="F8" t="str">
        <v>96.8157× bet (before scale/cost)</v>
      </c>
      <c r="G8" t="str">
        <v>2026-04-09 19:13:37</v>
      </c>
    </row>
    <row r="9">
      <c r="A9" t="str">
        <v>EB + BuyFG</v>
      </c>
      <c r="B9" t="str">
        <v>200,000</v>
      </c>
      <c r="C9" t="str">
        <v>98.88%</v>
      </c>
      <c r="D9" t="str">
        <v>100.00%</v>
      </c>
      <c r="E9" t="str">
        <v>25401.56× bet</v>
      </c>
      <c r="F9" t="str">
        <v>98.8845× bet (before scale/cost)</v>
      </c>
      <c r="G9" t="str">
        <v>2026-04-09 19:13:37</v>
      </c>
    </row>
    <row r="11">
      <c r="A11" t="str">
        <v>RTP 目標：各模式 97.5%±1%（接受範圍 96.5%–98.5%）</v>
      </c>
    </row>
    <row r="12">
      <c r="A12" t="str">
        <v>通過 → 可執行 engine_generator.js 產生 GameConfig.generated.ts</v>
      </c>
    </row>
  </sheetData>
  <ignoredErrors>
    <ignoredError numberStoredAsText="1" sqref="A1:G1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I144"/>
  <sheetViews>
    <sheetView workbookViewId="0" rightToLeft="0"/>
  </sheetViews>
  <cols>
    <col min="1" max="1" width="24.83203125" customWidth="1"/>
    <col min="2" max="2" width="14.83203125" customWidth="1"/>
    <col min="3" max="3" width="14.83203125" customWidth="1"/>
    <col min="4" max="4" width="14.83203125" customWidth="1"/>
    <col min="5" max="5" width="14.83203125" customWidth="1"/>
    <col min="6" max="6" width="14.83203125" customWidth="1"/>
    <col min="7" max="7" width="28.83203125" customWidth="1"/>
  </cols>
  <sheetData>
    <row r="1">
      <c r="A1" t="str">
        <v>DESIGN_VIEW — 企劃視覺化預覽（由 excel_simulator.js 自動寫入，請勿手動修改）</v>
      </c>
    </row>
    <row r="2">
      <c r="A2" t="str">
        <v>模擬時間：2026-04-09 19:13:37</v>
      </c>
      <c r="B2" t="str">
        <v>模擬轉數：200,000 per mode（200,000 × 1 runs）</v>
      </c>
    </row>
    <row r="4">
      <c r="A4" t="str">
        <v>══ 1. RTP 總覽 ═══════════════════════════════════════════════</v>
      </c>
    </row>
    <row r="5">
      <c r="A5" t="str">
        <v>情境</v>
      </c>
      <c r="B5" t="str">
        <v>費用(×bet)</v>
      </c>
      <c r="C5" t="str">
        <v>模擬RTP</v>
      </c>
      <c r="D5" t="str">
        <v>目標RTP</v>
      </c>
      <c r="E5" t="str">
        <v>差距(pp)</v>
      </c>
      <c r="F5" t="str">
        <v>判定</v>
      </c>
    </row>
    <row r="6">
      <c r="A6" t="str">
        <v>情境1 Main Game</v>
      </c>
      <c r="B6">
        <v>1</v>
      </c>
      <c r="C6" t="str">
        <v>88.67%</v>
      </c>
      <c r="D6" t="str">
        <v>97.5%</v>
      </c>
      <c r="E6" t="str">
        <v>-8.83pp</v>
      </c>
      <c r="F6" t="str">
        <v>⚠️ FAIL</v>
      </c>
    </row>
    <row r="7">
      <c r="A7" t="str">
        <v>情境2 Extra Bet</v>
      </c>
      <c r="B7">
        <v>3</v>
      </c>
      <c r="C7" t="str">
        <v>88.17%</v>
      </c>
      <c r="D7" t="str">
        <v>97.5%</v>
      </c>
      <c r="E7" t="str">
        <v>-9.33pp</v>
      </c>
      <c r="F7" t="str">
        <v>⚠️ FAIL</v>
      </c>
    </row>
    <row r="8">
      <c r="A8" t="str">
        <v>情境3 Buy FG</v>
      </c>
      <c r="B8">
        <v>100</v>
      </c>
      <c r="C8" t="str">
        <v>96.82%</v>
      </c>
      <c r="D8" t="str">
        <v>97.5%</v>
      </c>
      <c r="E8" t="str">
        <v>-0.68pp</v>
      </c>
      <c r="F8" t="str">
        <v>✅ PASS</v>
      </c>
    </row>
    <row r="9">
      <c r="A9" t="str">
        <v>情境4 EB+BuyFG</v>
      </c>
      <c r="B9">
        <v>100</v>
      </c>
      <c r="C9" t="str">
        <v>98.88%</v>
      </c>
      <c r="D9" t="str">
        <v>97.5%</v>
      </c>
      <c r="E9" t="str">
        <v>1.38pp</v>
      </c>
      <c r="F9" t="str">
        <v>⚠️ FAIL</v>
      </c>
    </row>
    <row r="11">
      <c r="A11" t="str">
        <v>══ 2. 獎項分佈（% of total spins）══════════════════════════</v>
      </c>
    </row>
    <row r="12">
      <c r="A12" t="str">
        <v>情境</v>
      </c>
      <c r="B12" t="str">
        <v>零獎(0x)</v>
      </c>
      <c r="C12" t="str">
        <v>≤1x</v>
      </c>
      <c r="D12" t="str">
        <v>1-10x</v>
      </c>
      <c r="E12" t="str">
        <v>10-100x</v>
      </c>
      <c r="F12" t="str">
        <v>100-1000x</v>
      </c>
      <c r="G12" t="str">
        <v>&gt;1000x（巨獎）</v>
      </c>
    </row>
    <row r="13">
      <c r="A13" t="str">
        <v>情境1 Main Game</v>
      </c>
      <c r="B13" t="str">
        <v>65.26%</v>
      </c>
      <c r="C13" t="str">
        <v>23.67%</v>
      </c>
      <c r="D13" t="str">
        <v>9.84%</v>
      </c>
      <c r="E13" t="str">
        <v>1.17%</v>
      </c>
      <c r="F13" t="str">
        <v>0.06%</v>
      </c>
      <c r="G13" t="str">
        <v>0.01%</v>
      </c>
    </row>
    <row r="14">
      <c r="A14" t="str">
        <v>情境2 Extra Bet</v>
      </c>
      <c r="B14" t="str">
        <v>68.50%</v>
      </c>
      <c r="C14" t="str">
        <v>9.63%</v>
      </c>
      <c r="D14" t="str">
        <v>16.55%</v>
      </c>
      <c r="E14" t="str">
        <v>5.17%</v>
      </c>
      <c r="F14" t="str">
        <v>0.13%</v>
      </c>
      <c r="G14" t="str">
        <v>0.02%</v>
      </c>
    </row>
    <row r="15">
      <c r="A15" t="str">
        <v>情境3 Buy FG</v>
      </c>
      <c r="B15" t="str">
        <v>0.00%</v>
      </c>
      <c r="C15" t="str">
        <v>0.00%</v>
      </c>
      <c r="D15" t="str">
        <v>0.00%</v>
      </c>
      <c r="E15" t="str">
        <v>81.81%</v>
      </c>
      <c r="F15" t="str">
        <v>17.33%</v>
      </c>
      <c r="G15" t="str">
        <v>0.85%</v>
      </c>
    </row>
    <row r="16">
      <c r="A16" t="str">
        <v>情境4 EB+BuyFG</v>
      </c>
      <c r="B16" t="str">
        <v>0.00%</v>
      </c>
      <c r="C16" t="str">
        <v>0.00%</v>
      </c>
      <c r="D16" t="str">
        <v>0.00%</v>
      </c>
      <c r="E16" t="str">
        <v>81.68%</v>
      </c>
      <c r="F16" t="str">
        <v>17.43%</v>
      </c>
      <c r="G16" t="str">
        <v>0.89%</v>
      </c>
    </row>
    <row r="18">
      <c r="A18" t="str">
        <v>══ 3. FG 觸發統計 ════════════════════════════════════════════</v>
      </c>
    </row>
    <row r="19">
      <c r="A19" t="str">
        <v>情境</v>
      </c>
      <c r="B19" t="str">
        <v>FG觸發率</v>
      </c>
      <c r="C19" t="str">
        <v>FG進入率（有效）</v>
      </c>
      <c r="D19" t="str">
        <v>平均FG spin數</v>
      </c>
      <c r="E19" t="str">
        <v>近失/Floor觸發率</v>
      </c>
    </row>
    <row r="20">
      <c r="A20" t="str">
        <v>情境1 Main Game</v>
      </c>
      <c r="B20" t="str">
        <v>0.91%</v>
      </c>
      <c r="C20" t="str">
        <v>0.73%</v>
      </c>
      <c r="D20" t="str">
        <v>2.93</v>
      </c>
      <c r="E20" t="str">
        <v>N/A（零獎型）</v>
      </c>
    </row>
    <row r="21">
      <c r="A21" t="str">
        <v>情境2 Extra Bet</v>
      </c>
      <c r="B21" t="str">
        <v>0.92%</v>
      </c>
      <c r="C21" t="str">
        <v>0.74%</v>
      </c>
      <c r="D21" t="str">
        <v>2.82</v>
      </c>
      <c r="E21" t="str">
        <v>N/A（零獎型）</v>
      </c>
    </row>
    <row r="22">
      <c r="A22" t="str">
        <v>情境3 Buy FG</v>
      </c>
      <c r="B22" t="str">
        <v>100%（保證）</v>
      </c>
      <c r="C22" t="str">
        <v>100%（保證）</v>
      </c>
      <c r="D22" t="str">
        <v>5.00</v>
      </c>
      <c r="E22" t="str">
        <v>4.43%（20×bet floor觸發率）</v>
      </c>
    </row>
    <row r="23">
      <c r="A23" t="str">
        <v>情境4 EB+BuyFG</v>
      </c>
      <c r="B23" t="str">
        <v>100%（保證）</v>
      </c>
      <c r="C23" t="str">
        <v>100%（保證）</v>
      </c>
      <c r="D23" t="str">
        <v>5.00</v>
      </c>
      <c r="E23" t="str">
        <v>4.41%（20×bet floor觸發率）</v>
      </c>
    </row>
    <row r="25">
      <c r="A25" t="str">
        <v>══ 4. 近失配置確認 ══════════════════════════════════════════</v>
      </c>
    </row>
    <row r="26">
      <c r="A26" t="str">
        <v>情境</v>
      </c>
      <c r="B26" t="str">
        <v>近失類型</v>
      </c>
      <c r="C26" t="str">
        <v>目標零獎率</v>
      </c>
      <c r="D26" t="str">
        <v>實測零獎率</v>
      </c>
      <c r="E26" t="str">
        <v>命中率(win&gt;0)</v>
      </c>
      <c r="F26" t="str">
        <v>判定</v>
      </c>
    </row>
    <row r="27">
      <c r="A27" t="str">
        <v>情境1 Main Game</v>
      </c>
      <c r="B27" t="str">
        <v>ZERO_WIN</v>
      </c>
      <c r="C27" t="str">
        <v>65-70%</v>
      </c>
      <c r="D27" t="str">
        <v>65.26%</v>
      </c>
      <c r="E27" t="str">
        <v>34.74%</v>
      </c>
      <c r="F27" t="str">
        <v>✅</v>
      </c>
    </row>
    <row r="28">
      <c r="A28" t="str">
        <v>情境2 Extra Bet</v>
      </c>
      <c r="B28" t="str">
        <v>ZERO_WIN</v>
      </c>
      <c r="C28" t="str">
        <v>60-65%</v>
      </c>
      <c r="D28" t="str">
        <v>68.50%</v>
      </c>
      <c r="E28" t="str">
        <v>31.50%</v>
      </c>
      <c r="F28" t="str">
        <v>⚠️ 偏離目標</v>
      </c>
    </row>
    <row r="29">
      <c r="A29" t="str">
        <v>情境3 Buy FG</v>
      </c>
      <c r="B29" t="str">
        <v>MIN_WIN</v>
      </c>
      <c r="C29" t="str">
        <v>0%（不允許）</v>
      </c>
      <c r="D29" t="str">
        <v>0.00%</v>
      </c>
      <c r="E29" t="str">
        <v>100.00%</v>
      </c>
      <c r="F29" t="str">
        <v>✅</v>
      </c>
    </row>
    <row r="30">
      <c r="A30" t="str">
        <v>情境4 EB+BuyFG</v>
      </c>
      <c r="B30" t="str">
        <v>MIN_WIN</v>
      </c>
      <c r="C30" t="str">
        <v>0%（不允許）</v>
      </c>
      <c r="D30" t="str">
        <v>0.00%</v>
      </c>
      <c r="E30" t="str">
        <v>100.00%</v>
      </c>
      <c r="F30" t="str">
        <v>✅</v>
      </c>
    </row>
    <row r="32">
      <c r="A32" t="str">
        <v>══ 5. 最高獎金分析 ══════════════════════════════════════════</v>
      </c>
    </row>
    <row r="33">
      <c r="A33" t="str">
        <v>情境</v>
      </c>
      <c r="B33" t="str">
        <v>最高倍數</v>
      </c>
      <c r="C33" t="str">
        <v>巨獎率(&gt;1000x)</v>
      </c>
      <c r="D33" t="str">
        <v>平均每次押注獲得（raw）</v>
      </c>
    </row>
    <row r="34">
      <c r="A34" t="str">
        <v>情境1 Main Game</v>
      </c>
      <c r="B34" t="str">
        <v>8927.76× bet</v>
      </c>
      <c r="C34" t="str">
        <v>0.01%</v>
      </c>
      <c r="D34" t="str">
        <v>0.8867× bet (before scale/cost)</v>
      </c>
    </row>
    <row r="35">
      <c r="A35" t="str">
        <v>情境2 Extra Bet</v>
      </c>
      <c r="B35" t="str">
        <v>16312.15× bet</v>
      </c>
      <c r="C35" t="str">
        <v>0.02%</v>
      </c>
      <c r="D35" t="str">
        <v>2.6452× bet (before scale/cost)</v>
      </c>
    </row>
    <row r="36">
      <c r="A36" t="str">
        <v>情境3 Buy FG</v>
      </c>
      <c r="B36" t="str">
        <v>21762.75× bet</v>
      </c>
      <c r="C36" t="str">
        <v>0.85%</v>
      </c>
      <c r="D36" t="str">
        <v>96.8157× bet (before scale/cost)</v>
      </c>
    </row>
    <row r="37">
      <c r="A37" t="str">
        <v>情境4 EB+BuyFG</v>
      </c>
      <c r="B37" t="str">
        <v>25401.56× bet</v>
      </c>
      <c r="C37" t="str">
        <v>0.89%</v>
      </c>
      <c r="D37" t="str">
        <v>98.8845× bet (before scale/cost)</v>
      </c>
    </row>
    <row r="39">
      <c r="A39" t="str">
        <v>══ 6. 企劃調整指引 ══════════════════════════════════════════</v>
      </c>
    </row>
    <row r="40">
      <c r="A40" t="str">
        <v>狀況</v>
      </c>
      <c r="B40" t="str">
        <v>調整方式</v>
      </c>
    </row>
    <row r="41">
      <c r="A41" t="str">
        <v>RTP 偏低</v>
      </c>
      <c r="B41" t="str">
        <v>↑ Wild/Premium 符號比重（出現率）</v>
      </c>
    </row>
    <row r="42">
      <c r="A42" t="str">
        <v>RTP 偏高</v>
      </c>
      <c r="B42" t="str">
        <v>↓ Wild/Premium 符號比重（出現率），↑ L3/L4 比重</v>
      </c>
    </row>
    <row r="43">
      <c r="A43" t="str">
        <v>零獎率過高（MG/EB）</v>
      </c>
      <c r="B43" t="str">
        <v>↑ Wild 權重（Wild 替代增加命中）</v>
      </c>
    </row>
    <row r="44">
      <c r="A44" t="str">
        <v>零獎率過低（MG/EB）</v>
      </c>
      <c r="B44" t="str">
        <v>↓ Wild 權重</v>
      </c>
    </row>
    <row r="45">
      <c r="A45" t="str">
        <v>BuyFG 近失率過高</v>
      </c>
      <c r="B45" t="str">
        <v>↑ BuyFG Wild 權重（使更多 spin 自然超過 floor）</v>
      </c>
    </row>
    <row r="46">
      <c r="A46" t="str">
        <v>BuyFG 近失率過低</v>
      </c>
      <c r="B46" t="str">
        <v>↓ BuyFG Wild 權重（使更多 spin 落在 floor 附近）</v>
      </c>
    </row>
    <row r="47">
      <c r="A47" t="str">
        <v>巨獎率過低</v>
      </c>
      <c r="B47" t="str">
        <v>↑ Wild 5連命中率；或調整 FG Spin Bonus 分佈</v>
      </c>
    </row>
    <row r="48">
      <c r="A48" t="str">
        <v>每次調整後：</v>
      </c>
      <c r="B48" t="str">
        <v>node build_config.js → node excel_simulator.js → 確認 DESIGN_VIEW + SIMULATION 結果</v>
      </c>
    </row>
    <row r="50">
      <c r="A50" t="str">
        <v>══ 7. PAYTABLE 命中率分析（解析式，base spin × 25 條連線）══════════════════</v>
      </c>
    </row>
    <row r="51">
      <c r="A51" t="str">
        <v>說明：單線命中率×25線×賠率 = base spin RTP 貢獻；cascade/FG/TB 另外加成（見 MODE_MATH tab）</v>
      </c>
    </row>
    <row r="53">
      <c r="A53" t="str">
        <v>── 情境1 Main Game ──</v>
      </c>
    </row>
    <row r="54">
      <c r="A54" t="str">
        <v>符號</v>
      </c>
      <c r="B54" t="str">
        <v>連線數</v>
      </c>
      <c r="C54" t="str">
        <v>單線命中率%</v>
      </c>
      <c r="D54" t="str">
        <v>25條EV</v>
      </c>
      <c r="E54" t="str">
        <v>33條EV</v>
      </c>
      <c r="F54" t="str">
        <v>45條EV</v>
      </c>
      <c r="G54" t="str">
        <v>57條EV</v>
      </c>
      <c r="H54" t="str">
        <v>賠率(×bet)</v>
      </c>
      <c r="I54" t="str">
        <v>RTP貢獻@25線%</v>
      </c>
    </row>
    <row r="55">
      <c r="A55" t="str">
        <v>W</v>
      </c>
      <c r="B55" t="str">
        <v>3連</v>
      </c>
      <c r="C55" t="str">
        <v>0.0129%</v>
      </c>
      <c r="D55" t="str">
        <v>0.00199</v>
      </c>
      <c r="E55" t="str">
        <v>0.00262</v>
      </c>
      <c r="F55" t="str">
        <v>0.00358</v>
      </c>
      <c r="G55" t="str">
        <v>0.01023</v>
      </c>
      <c r="H55" t="str">
        <v>0.6157</v>
      </c>
      <c r="I55" t="str">
        <v>0.1987%</v>
      </c>
    </row>
    <row r="56">
      <c r="A56" t="str">
        <v>W</v>
      </c>
      <c r="B56" t="str">
        <v>4連</v>
      </c>
      <c r="C56" t="str">
        <v>0.0009%</v>
      </c>
      <c r="D56" t="str">
        <v>0.00036</v>
      </c>
      <c r="E56" t="str">
        <v>0.00047</v>
      </c>
      <c r="F56" t="str">
        <v>0.00065</v>
      </c>
      <c r="G56" t="str">
        <v>0.00252</v>
      </c>
      <c r="H56" t="str">
        <v>1.5575</v>
      </c>
      <c r="I56" t="str">
        <v>0.0359%</v>
      </c>
    </row>
    <row r="57">
      <c r="A57" t="str">
        <v>W</v>
      </c>
      <c r="B57" t="str">
        <v>5連</v>
      </c>
      <c r="C57" t="str">
        <v>0.0001%</v>
      </c>
      <c r="D57" t="str">
        <v>0.00007</v>
      </c>
      <c r="E57" t="str">
        <v>0.00009</v>
      </c>
      <c r="F57" t="str">
        <v>0.00013</v>
      </c>
      <c r="G57" t="str">
        <v>0.00067</v>
      </c>
      <c r="H57" t="str">
        <v>4.2377</v>
      </c>
      <c r="I57" t="str">
        <v>0.0070%</v>
      </c>
    </row>
    <row r="58">
      <c r="A58" t="str">
        <v>P1</v>
      </c>
      <c r="B58" t="str">
        <v>3連</v>
      </c>
      <c r="C58" t="str">
        <v>0.0540%</v>
      </c>
      <c r="D58" t="str">
        <v>0.00831</v>
      </c>
      <c r="E58" t="str">
        <v>0.01097</v>
      </c>
      <c r="F58" t="str">
        <v>0.01496</v>
      </c>
      <c r="G58" t="str">
        <v>0.05360</v>
      </c>
      <c r="H58" t="str">
        <v>0.6157</v>
      </c>
      <c r="I58" t="str">
        <v>0.8312%</v>
      </c>
    </row>
    <row r="59">
      <c r="A59" t="str">
        <v>P1</v>
      </c>
      <c r="B59" t="str">
        <v>4連</v>
      </c>
      <c r="C59" t="str">
        <v>0.0060%</v>
      </c>
      <c r="D59" t="str">
        <v>0.00234</v>
      </c>
      <c r="E59" t="str">
        <v>0.00308</v>
      </c>
      <c r="F59" t="str">
        <v>0.00421</v>
      </c>
      <c r="G59" t="str">
        <v>0.02289</v>
      </c>
      <c r="H59" t="str">
        <v>1.5575</v>
      </c>
      <c r="I59" t="str">
        <v>0.2336%</v>
      </c>
    </row>
    <row r="60">
      <c r="A60" t="str">
        <v>P1</v>
      </c>
      <c r="B60" t="str">
        <v>5連</v>
      </c>
      <c r="C60" t="str">
        <v>0.0007%</v>
      </c>
      <c r="D60" t="str">
        <v>0.00071</v>
      </c>
      <c r="E60" t="str">
        <v>0.00093</v>
      </c>
      <c r="F60" t="str">
        <v>0.00127</v>
      </c>
      <c r="G60" t="str">
        <v>0.01052</v>
      </c>
      <c r="H60" t="str">
        <v>4.2377</v>
      </c>
      <c r="I60" t="str">
        <v>0.0706%</v>
      </c>
    </row>
    <row r="61">
      <c r="A61" t="str">
        <v>P2</v>
      </c>
      <c r="B61" t="str">
        <v>3連</v>
      </c>
      <c r="C61" t="str">
        <v>0.0759%</v>
      </c>
      <c r="D61" t="str">
        <v>0.00756</v>
      </c>
      <c r="E61" t="str">
        <v>0.00998</v>
      </c>
      <c r="F61" t="str">
        <v>0.01360</v>
      </c>
      <c r="G61" t="str">
        <v>0.04354</v>
      </c>
      <c r="H61" t="str">
        <v>0.3984</v>
      </c>
      <c r="I61" t="str">
        <v>0.7557%</v>
      </c>
    </row>
    <row r="62">
      <c r="A62" t="str">
        <v>P2</v>
      </c>
      <c r="B62" t="str">
        <v>4連</v>
      </c>
      <c r="C62" t="str">
        <v>0.0095%</v>
      </c>
      <c r="D62" t="str">
        <v>0.00232</v>
      </c>
      <c r="E62" t="str">
        <v>0.00306</v>
      </c>
      <c r="F62" t="str">
        <v>0.00417</v>
      </c>
      <c r="G62" t="str">
        <v>0.01969</v>
      </c>
      <c r="H62" t="str">
        <v>0.9779</v>
      </c>
      <c r="I62" t="str">
        <v>0.2319%</v>
      </c>
    </row>
    <row r="63">
      <c r="A63" t="str">
        <v>P2</v>
      </c>
      <c r="B63" t="str">
        <v>5連</v>
      </c>
      <c r="C63" t="str">
        <v>0.0012%</v>
      </c>
      <c r="D63" t="str">
        <v>0.00072</v>
      </c>
      <c r="E63" t="str">
        <v>0.00095</v>
      </c>
      <c r="F63" t="str">
        <v>0.00129</v>
      </c>
      <c r="G63" t="str">
        <v>0.00900</v>
      </c>
      <c r="H63" t="str">
        <v>2.4267</v>
      </c>
      <c r="I63" t="str">
        <v>0.0719%</v>
      </c>
    </row>
    <row r="64">
      <c r="A64" t="str">
        <v>P3</v>
      </c>
      <c r="B64" t="str">
        <v>3連</v>
      </c>
      <c r="C64" t="str">
        <v>0.1023%</v>
      </c>
      <c r="D64" t="str">
        <v>0.00834</v>
      </c>
      <c r="E64" t="str">
        <v>0.01101</v>
      </c>
      <c r="F64" t="str">
        <v>0.01501</v>
      </c>
      <c r="G64" t="str">
        <v>0.04381</v>
      </c>
      <c r="H64" t="str">
        <v>0.3260</v>
      </c>
      <c r="I64" t="str">
        <v>0.8338%</v>
      </c>
    </row>
    <row r="65">
      <c r="A65" t="str">
        <v>P3</v>
      </c>
      <c r="B65" t="str">
        <v>4連</v>
      </c>
      <c r="C65" t="str">
        <v>0.0142%</v>
      </c>
      <c r="D65" t="str">
        <v>0.00297</v>
      </c>
      <c r="E65" t="str">
        <v>0.00392</v>
      </c>
      <c r="F65" t="str">
        <v>0.00534</v>
      </c>
      <c r="G65" t="str">
        <v>0.02239</v>
      </c>
      <c r="H65" t="str">
        <v>0.8331</v>
      </c>
      <c r="I65" t="str">
        <v>0.2967%</v>
      </c>
    </row>
    <row r="66">
      <c r="A66" t="str">
        <v>P3</v>
      </c>
      <c r="B66" t="str">
        <v>5連</v>
      </c>
      <c r="C66" t="str">
        <v>0.0020%</v>
      </c>
      <c r="D66" t="str">
        <v>0.00120</v>
      </c>
      <c r="E66" t="str">
        <v>0.00159</v>
      </c>
      <c r="F66" t="str">
        <v>0.00217</v>
      </c>
      <c r="G66" t="str">
        <v>0.01304</v>
      </c>
      <c r="H66" t="str">
        <v>2.4267</v>
      </c>
      <c r="I66" t="str">
        <v>0.1203%</v>
      </c>
    </row>
    <row r="67">
      <c r="A67" t="str">
        <v>P4</v>
      </c>
      <c r="B67" t="str">
        <v>3連</v>
      </c>
      <c r="C67" t="str">
        <v>0.1697%</v>
      </c>
      <c r="D67" t="str">
        <v>0.01076</v>
      </c>
      <c r="E67" t="str">
        <v>0.01420</v>
      </c>
      <c r="F67" t="str">
        <v>0.01936</v>
      </c>
      <c r="G67" t="str">
        <v>0.04117</v>
      </c>
      <c r="H67" t="str">
        <v>0.2535</v>
      </c>
      <c r="I67" t="str">
        <v>1.0756%</v>
      </c>
    </row>
    <row r="68">
      <c r="A68" t="str">
        <v>P4</v>
      </c>
      <c r="B68" t="str">
        <v>4連</v>
      </c>
      <c r="C68" t="str">
        <v>0.0286%</v>
      </c>
      <c r="D68" t="str">
        <v>0.00441</v>
      </c>
      <c r="E68" t="str">
        <v>0.00582</v>
      </c>
      <c r="F68" t="str">
        <v>0.00794</v>
      </c>
      <c r="G68" t="str">
        <v>0.02162</v>
      </c>
      <c r="H68" t="str">
        <v>0.6157</v>
      </c>
      <c r="I68" t="str">
        <v>0.4410%</v>
      </c>
    </row>
    <row r="69">
      <c r="A69" t="str">
        <v>P4</v>
      </c>
      <c r="B69" t="str">
        <v>5連</v>
      </c>
      <c r="C69" t="str">
        <v>0.0048%</v>
      </c>
      <c r="D69" t="str">
        <v>0.00250</v>
      </c>
      <c r="E69" t="str">
        <v>0.00330</v>
      </c>
      <c r="F69" t="str">
        <v>0.00449</v>
      </c>
      <c r="G69" t="str">
        <v>0.01567</v>
      </c>
      <c r="H69" t="str">
        <v>2.0645</v>
      </c>
      <c r="I69" t="str">
        <v>0.2496%</v>
      </c>
    </row>
    <row r="70">
      <c r="A70" t="str">
        <v>L1</v>
      </c>
      <c r="B70" t="str">
        <v>3連</v>
      </c>
      <c r="C70" t="str">
        <v>0.3086%</v>
      </c>
      <c r="D70" t="str">
        <v>0.00838</v>
      </c>
      <c r="E70" t="str">
        <v>0.01107</v>
      </c>
      <c r="F70" t="str">
        <v>0.01509</v>
      </c>
      <c r="G70" t="str">
        <v>0.00946</v>
      </c>
      <c r="H70" t="str">
        <v>0.1087</v>
      </c>
      <c r="I70" t="str">
        <v>0.8384%</v>
      </c>
    </row>
    <row r="71">
      <c r="A71" t="str">
        <v>L1</v>
      </c>
      <c r="B71" t="str">
        <v>4連</v>
      </c>
      <c r="C71" t="str">
        <v>0.0667%</v>
      </c>
      <c r="D71" t="str">
        <v>0.00423</v>
      </c>
      <c r="E71" t="str">
        <v>0.00558</v>
      </c>
      <c r="F71" t="str">
        <v>0.00761</v>
      </c>
      <c r="G71" t="str">
        <v>0.00373</v>
      </c>
      <c r="H71" t="str">
        <v>0.2535</v>
      </c>
      <c r="I71" t="str">
        <v>0.4230%</v>
      </c>
    </row>
    <row r="72">
      <c r="A72" t="str">
        <v>L1</v>
      </c>
      <c r="B72" t="str">
        <v>5連</v>
      </c>
      <c r="C72" t="str">
        <v>0.0144%</v>
      </c>
      <c r="D72" t="str">
        <v>0.00222</v>
      </c>
      <c r="E72" t="str">
        <v>0.00293</v>
      </c>
      <c r="F72" t="str">
        <v>0.00400</v>
      </c>
      <c r="G72" t="str">
        <v>0.00153</v>
      </c>
      <c r="H72" t="str">
        <v>0.6157</v>
      </c>
      <c r="I72" t="str">
        <v>0.2221%</v>
      </c>
    </row>
    <row r="73">
      <c r="A73" t="str">
        <v>L2</v>
      </c>
      <c r="B73" t="str">
        <v>3連</v>
      </c>
      <c r="C73" t="str">
        <v>0.3086%</v>
      </c>
      <c r="D73" t="str">
        <v>0.00838</v>
      </c>
      <c r="E73" t="str">
        <v>0.01107</v>
      </c>
      <c r="F73" t="str">
        <v>0.01509</v>
      </c>
      <c r="G73" t="str">
        <v>0.00946</v>
      </c>
      <c r="H73" t="str">
        <v>0.1087</v>
      </c>
      <c r="I73" t="str">
        <v>0.8384%</v>
      </c>
    </row>
    <row r="74">
      <c r="A74" t="str">
        <v>L2</v>
      </c>
      <c r="B74" t="str">
        <v>4連</v>
      </c>
      <c r="C74" t="str">
        <v>0.0667%</v>
      </c>
      <c r="D74" t="str">
        <v>0.00423</v>
      </c>
      <c r="E74" t="str">
        <v>0.00558</v>
      </c>
      <c r="F74" t="str">
        <v>0.00761</v>
      </c>
      <c r="G74" t="str">
        <v>0.00373</v>
      </c>
      <c r="H74" t="str">
        <v>0.2535</v>
      </c>
      <c r="I74" t="str">
        <v>0.4230%</v>
      </c>
    </row>
    <row r="75">
      <c r="A75" t="str">
        <v>L2</v>
      </c>
      <c r="B75" t="str">
        <v>5連</v>
      </c>
      <c r="C75" t="str">
        <v>0.0144%</v>
      </c>
      <c r="D75" t="str">
        <v>0.00222</v>
      </c>
      <c r="E75" t="str">
        <v>0.00293</v>
      </c>
      <c r="F75" t="str">
        <v>0.00400</v>
      </c>
      <c r="G75" t="str">
        <v>0.00153</v>
      </c>
      <c r="H75" t="str">
        <v>0.6157</v>
      </c>
      <c r="I75" t="str">
        <v>0.2221%</v>
      </c>
    </row>
    <row r="76">
      <c r="A76" t="str">
        <v>L3</v>
      </c>
      <c r="B76" t="str">
        <v>3連</v>
      </c>
      <c r="C76" t="str">
        <v>0.3651%</v>
      </c>
      <c r="D76" t="str">
        <v>0.00661</v>
      </c>
      <c r="E76" t="str">
        <v>0.00873</v>
      </c>
      <c r="F76" t="str">
        <v>0.01190</v>
      </c>
      <c r="G76" t="str">
        <v>0.00792</v>
      </c>
      <c r="H76" t="str">
        <v>0.0724</v>
      </c>
      <c r="I76" t="str">
        <v>0.6613%</v>
      </c>
    </row>
    <row r="77">
      <c r="A77" t="str">
        <v>L3</v>
      </c>
      <c r="B77" t="str">
        <v>4連</v>
      </c>
      <c r="C77" t="str">
        <v>0.0850%</v>
      </c>
      <c r="D77" t="str">
        <v>0.00385</v>
      </c>
      <c r="E77" t="str">
        <v>0.00508</v>
      </c>
      <c r="F77" t="str">
        <v>0.00693</v>
      </c>
      <c r="G77" t="str">
        <v>0.00365</v>
      </c>
      <c r="H77" t="str">
        <v>0.1811</v>
      </c>
      <c r="I77" t="str">
        <v>0.3850%</v>
      </c>
    </row>
    <row r="78">
      <c r="A78" t="str">
        <v>L3</v>
      </c>
      <c r="B78" t="str">
        <v>5連</v>
      </c>
      <c r="C78" t="str">
        <v>0.0198%</v>
      </c>
      <c r="D78" t="str">
        <v>0.00233</v>
      </c>
      <c r="E78" t="str">
        <v>0.00308</v>
      </c>
      <c r="F78" t="str">
        <v>0.00420</v>
      </c>
      <c r="G78" t="str">
        <v>0.00175</v>
      </c>
      <c r="H78" t="str">
        <v>0.4709</v>
      </c>
      <c r="I78" t="str">
        <v>0.2331%</v>
      </c>
    </row>
    <row r="79">
      <c r="A79" t="str">
        <v>L4</v>
      </c>
      <c r="B79" t="str">
        <v>3連</v>
      </c>
      <c r="C79" t="str">
        <v>0.3651%</v>
      </c>
      <c r="D79" t="str">
        <v>0.00661</v>
      </c>
      <c r="E79" t="str">
        <v>0.00873</v>
      </c>
      <c r="F79" t="str">
        <v>0.01190</v>
      </c>
      <c r="G79" t="str">
        <v>0.00792</v>
      </c>
      <c r="H79" t="str">
        <v>0.0724</v>
      </c>
      <c r="I79" t="str">
        <v>0.6613%</v>
      </c>
    </row>
    <row r="80">
      <c r="A80" t="str">
        <v>L4</v>
      </c>
      <c r="B80" t="str">
        <v>4連</v>
      </c>
      <c r="C80" t="str">
        <v>0.0850%</v>
      </c>
      <c r="D80" t="str">
        <v>0.00385</v>
      </c>
      <c r="E80" t="str">
        <v>0.00508</v>
      </c>
      <c r="F80" t="str">
        <v>0.00693</v>
      </c>
      <c r="G80" t="str">
        <v>0.00365</v>
      </c>
      <c r="H80" t="str">
        <v>0.1811</v>
      </c>
      <c r="I80" t="str">
        <v>0.3850%</v>
      </c>
    </row>
    <row r="81">
      <c r="A81" t="str">
        <v>L4</v>
      </c>
      <c r="B81" t="str">
        <v>5連</v>
      </c>
      <c r="C81" t="str">
        <v>0.0198%</v>
      </c>
      <c r="D81" t="str">
        <v>0.00233</v>
      </c>
      <c r="E81" t="str">
        <v>0.00308</v>
      </c>
      <c r="F81" t="str">
        <v>0.00420</v>
      </c>
      <c r="G81" t="str">
        <v>0.00175</v>
      </c>
      <c r="H81" t="str">
        <v>0.4709</v>
      </c>
      <c r="I81" t="str">
        <v>0.2331%</v>
      </c>
    </row>
    <row r="82">
      <c r="A82" t="str">
        <v>合計 base spin RTP 貢獻（25線，無cascade）</v>
      </c>
      <c r="B82" t="str">
        <v/>
      </c>
      <c r="C82" t="str">
        <v/>
      </c>
      <c r="D82" t="str">
        <v/>
      </c>
      <c r="E82" t="str">
        <v/>
      </c>
      <c r="F82" t="str">
        <v/>
      </c>
      <c r="G82" t="str">
        <v/>
      </c>
      <c r="H82" t="str">
        <v/>
      </c>
      <c r="I82" t="str">
        <v>10.979%</v>
      </c>
    </row>
    <row r="84">
      <c r="A84" t="str">
        <v>── 情境2 Extra Bet ──</v>
      </c>
    </row>
    <row r="85">
      <c r="A85" t="str">
        <v>符號</v>
      </c>
      <c r="B85" t="str">
        <v>連線數</v>
      </c>
      <c r="C85" t="str">
        <v>單線命中率%</v>
      </c>
      <c r="D85" t="str">
        <v>25條EV</v>
      </c>
      <c r="E85" t="str">
        <v>33條EV</v>
      </c>
      <c r="F85" t="str">
        <v>45條EV</v>
      </c>
      <c r="G85" t="str">
        <v>57條EV</v>
      </c>
      <c r="H85" t="str">
        <v>賠率(×bet)</v>
      </c>
      <c r="I85" t="str">
        <v>RTP貢獻@25線%</v>
      </c>
    </row>
    <row r="86">
      <c r="A86" t="str">
        <v>W</v>
      </c>
      <c r="B86" t="str">
        <v>3連</v>
      </c>
      <c r="C86" t="str">
        <v>0.0292%</v>
      </c>
      <c r="D86" t="str">
        <v>0.00449</v>
      </c>
      <c r="E86" t="str">
        <v>0.00592</v>
      </c>
      <c r="F86" t="str">
        <v>0.00808</v>
      </c>
      <c r="G86" t="str">
        <v>0.01023</v>
      </c>
      <c r="H86" t="str">
        <v>0.6157</v>
      </c>
      <c r="I86" t="str">
        <v>0.4487%</v>
      </c>
    </row>
    <row r="87">
      <c r="A87" t="str">
        <v>W</v>
      </c>
      <c r="B87" t="str">
        <v>4連</v>
      </c>
      <c r="C87" t="str">
        <v>0.0028%</v>
      </c>
      <c r="D87" t="str">
        <v>0.00111</v>
      </c>
      <c r="E87" t="str">
        <v>0.00146</v>
      </c>
      <c r="F87" t="str">
        <v>0.00199</v>
      </c>
      <c r="G87" t="str">
        <v>0.00252</v>
      </c>
      <c r="H87" t="str">
        <v>1.5575</v>
      </c>
      <c r="I87" t="str">
        <v>0.1107%</v>
      </c>
    </row>
    <row r="88">
      <c r="A88" t="str">
        <v>W</v>
      </c>
      <c r="B88" t="str">
        <v>5連</v>
      </c>
      <c r="C88" t="str">
        <v>0.0003%</v>
      </c>
      <c r="D88" t="str">
        <v>0.00029</v>
      </c>
      <c r="E88" t="str">
        <v>0.00039</v>
      </c>
      <c r="F88" t="str">
        <v>0.00053</v>
      </c>
      <c r="G88" t="str">
        <v>0.00067</v>
      </c>
      <c r="H88" t="str">
        <v>4.2377</v>
      </c>
      <c r="I88" t="str">
        <v>0.0294%</v>
      </c>
    </row>
    <row r="89">
      <c r="A89" t="str">
        <v>P1</v>
      </c>
      <c r="B89" t="str">
        <v>3連</v>
      </c>
      <c r="C89" t="str">
        <v>0.0895%</v>
      </c>
      <c r="D89" t="str">
        <v>0.01378</v>
      </c>
      <c r="E89" t="str">
        <v>0.01819</v>
      </c>
      <c r="F89" t="str">
        <v>0.02480</v>
      </c>
      <c r="G89" t="str">
        <v>0.05360</v>
      </c>
      <c r="H89" t="str">
        <v>0.6157</v>
      </c>
      <c r="I89" t="str">
        <v>1.3780%</v>
      </c>
    </row>
    <row r="90">
      <c r="A90" t="str">
        <v>P1</v>
      </c>
      <c r="B90" t="str">
        <v>4連</v>
      </c>
      <c r="C90" t="str">
        <v>0.0125%</v>
      </c>
      <c r="D90" t="str">
        <v>0.00485</v>
      </c>
      <c r="E90" t="str">
        <v>0.00641</v>
      </c>
      <c r="F90" t="str">
        <v>0.00874</v>
      </c>
      <c r="G90" t="str">
        <v>0.02289</v>
      </c>
      <c r="H90" t="str">
        <v>1.5575</v>
      </c>
      <c r="I90" t="str">
        <v>0.4853%</v>
      </c>
    </row>
    <row r="91">
      <c r="A91" t="str">
        <v>P1</v>
      </c>
      <c r="B91" t="str">
        <v>5連</v>
      </c>
      <c r="C91" t="str">
        <v>0.0017%</v>
      </c>
      <c r="D91" t="str">
        <v>0.00184</v>
      </c>
      <c r="E91" t="str">
        <v>0.00243</v>
      </c>
      <c r="F91" t="str">
        <v>0.00331</v>
      </c>
      <c r="G91" t="str">
        <v>0.01052</v>
      </c>
      <c r="H91" t="str">
        <v>4.2377</v>
      </c>
      <c r="I91" t="str">
        <v>0.1839%</v>
      </c>
    </row>
    <row r="92">
      <c r="A92" t="str">
        <v>P2</v>
      </c>
      <c r="B92" t="str">
        <v>3連</v>
      </c>
      <c r="C92" t="str">
        <v>0.1187%</v>
      </c>
      <c r="D92" t="str">
        <v>0.01182</v>
      </c>
      <c r="E92" t="str">
        <v>0.01561</v>
      </c>
      <c r="F92" t="str">
        <v>0.02128</v>
      </c>
      <c r="G92" t="str">
        <v>0.04354</v>
      </c>
      <c r="H92" t="str">
        <v>0.3984</v>
      </c>
      <c r="I92" t="str">
        <v>1.1823%</v>
      </c>
    </row>
    <row r="93">
      <c r="A93" t="str">
        <v>P2</v>
      </c>
      <c r="B93" t="str">
        <v>4連</v>
      </c>
      <c r="C93" t="str">
        <v>0.0183%</v>
      </c>
      <c r="D93" t="str">
        <v>0.00446</v>
      </c>
      <c r="E93" t="str">
        <v>0.00589</v>
      </c>
      <c r="F93" t="str">
        <v>0.00804</v>
      </c>
      <c r="G93" t="str">
        <v>0.01969</v>
      </c>
      <c r="H93" t="str">
        <v>0.9779</v>
      </c>
      <c r="I93" t="str">
        <v>0.4464%</v>
      </c>
    </row>
    <row r="94">
      <c r="A94" t="str">
        <v>P2</v>
      </c>
      <c r="B94" t="str">
        <v>5連</v>
      </c>
      <c r="C94" t="str">
        <v>0.0028%</v>
      </c>
      <c r="D94" t="str">
        <v>0.00170</v>
      </c>
      <c r="E94" t="str">
        <v>0.00225</v>
      </c>
      <c r="F94" t="str">
        <v>0.00307</v>
      </c>
      <c r="G94" t="str">
        <v>0.00900</v>
      </c>
      <c r="H94" t="str">
        <v>2.4267</v>
      </c>
      <c r="I94" t="str">
        <v>0.1704%</v>
      </c>
    </row>
    <row r="95">
      <c r="A95" t="str">
        <v>P3</v>
      </c>
      <c r="B95" t="str">
        <v>3連</v>
      </c>
      <c r="C95" t="str">
        <v>0.1187%</v>
      </c>
      <c r="D95" t="str">
        <v>0.00967</v>
      </c>
      <c r="E95" t="str">
        <v>0.01277</v>
      </c>
      <c r="F95" t="str">
        <v>0.01741</v>
      </c>
      <c r="G95" t="str">
        <v>0.04381</v>
      </c>
      <c r="H95" t="str">
        <v>0.3260</v>
      </c>
      <c r="I95" t="str">
        <v>0.9673%</v>
      </c>
    </row>
    <row r="96">
      <c r="A96" t="str">
        <v>P3</v>
      </c>
      <c r="B96" t="str">
        <v>4連</v>
      </c>
      <c r="C96" t="str">
        <v>0.0183%</v>
      </c>
      <c r="D96" t="str">
        <v>0.00380</v>
      </c>
      <c r="E96" t="str">
        <v>0.00502</v>
      </c>
      <c r="F96" t="str">
        <v>0.00685</v>
      </c>
      <c r="G96" t="str">
        <v>0.02239</v>
      </c>
      <c r="H96" t="str">
        <v>0.8331</v>
      </c>
      <c r="I96" t="str">
        <v>0.3803%</v>
      </c>
    </row>
    <row r="97">
      <c r="A97" t="str">
        <v>P3</v>
      </c>
      <c r="B97" t="str">
        <v>5連</v>
      </c>
      <c r="C97" t="str">
        <v>0.0028%</v>
      </c>
      <c r="D97" t="str">
        <v>0.00170</v>
      </c>
      <c r="E97" t="str">
        <v>0.00225</v>
      </c>
      <c r="F97" t="str">
        <v>0.00307</v>
      </c>
      <c r="G97" t="str">
        <v>0.01304</v>
      </c>
      <c r="H97" t="str">
        <v>2.4267</v>
      </c>
      <c r="I97" t="str">
        <v>0.1704%</v>
      </c>
    </row>
    <row r="98">
      <c r="A98" t="str">
        <v>P4</v>
      </c>
      <c r="B98" t="str">
        <v>3連</v>
      </c>
      <c r="C98" t="str">
        <v>0.1527%</v>
      </c>
      <c r="D98" t="str">
        <v>0.00968</v>
      </c>
      <c r="E98" t="str">
        <v>0.01278</v>
      </c>
      <c r="F98" t="str">
        <v>0.01742</v>
      </c>
      <c r="G98" t="str">
        <v>0.04117</v>
      </c>
      <c r="H98" t="str">
        <v>0.2535</v>
      </c>
      <c r="I98" t="str">
        <v>0.9680%</v>
      </c>
    </row>
    <row r="99">
      <c r="A99" t="str">
        <v>P4</v>
      </c>
      <c r="B99" t="str">
        <v>4連</v>
      </c>
      <c r="C99" t="str">
        <v>0.0258%</v>
      </c>
      <c r="D99" t="str">
        <v>0.00397</v>
      </c>
      <c r="E99" t="str">
        <v>0.00524</v>
      </c>
      <c r="F99" t="str">
        <v>0.00714</v>
      </c>
      <c r="G99" t="str">
        <v>0.02162</v>
      </c>
      <c r="H99" t="str">
        <v>0.6157</v>
      </c>
      <c r="I99" t="str">
        <v>0.3969%</v>
      </c>
    </row>
    <row r="100">
      <c r="A100" t="str">
        <v>P4</v>
      </c>
      <c r="B100" t="str">
        <v>5連</v>
      </c>
      <c r="C100" t="str">
        <v>0.0044%</v>
      </c>
      <c r="D100" t="str">
        <v>0.00225</v>
      </c>
      <c r="E100" t="str">
        <v>0.00297</v>
      </c>
      <c r="F100" t="str">
        <v>0.00404</v>
      </c>
      <c r="G100" t="str">
        <v>0.01567</v>
      </c>
      <c r="H100" t="str">
        <v>2.0645</v>
      </c>
      <c r="I100" t="str">
        <v>0.2247%</v>
      </c>
    </row>
    <row r="101">
      <c r="A101" t="str">
        <v>L1</v>
      </c>
      <c r="B101" t="str">
        <v>3連</v>
      </c>
      <c r="C101" t="str">
        <v>0.1917%</v>
      </c>
      <c r="D101" t="str">
        <v>0.00521</v>
      </c>
      <c r="E101" t="str">
        <v>0.00687</v>
      </c>
      <c r="F101" t="str">
        <v>0.00937</v>
      </c>
      <c r="G101" t="str">
        <v>0.00946</v>
      </c>
      <c r="H101" t="str">
        <v>0.1087</v>
      </c>
      <c r="I101" t="str">
        <v>0.5208%</v>
      </c>
    </row>
    <row r="102">
      <c r="A102" t="str">
        <v>L1</v>
      </c>
      <c r="B102" t="str">
        <v>4連</v>
      </c>
      <c r="C102" t="str">
        <v>0.0353%</v>
      </c>
      <c r="D102" t="str">
        <v>0.00224</v>
      </c>
      <c r="E102" t="str">
        <v>0.00295</v>
      </c>
      <c r="F102" t="str">
        <v>0.00403</v>
      </c>
      <c r="G102" t="str">
        <v>0.00373</v>
      </c>
      <c r="H102" t="str">
        <v>0.2535</v>
      </c>
      <c r="I102" t="str">
        <v>0.2239%</v>
      </c>
    </row>
    <row r="103">
      <c r="A103" t="str">
        <v>L1</v>
      </c>
      <c r="B103" t="str">
        <v>5連</v>
      </c>
      <c r="C103" t="str">
        <v>0.0065%</v>
      </c>
      <c r="D103" t="str">
        <v>0.00100</v>
      </c>
      <c r="E103" t="str">
        <v>0.00132</v>
      </c>
      <c r="F103" t="str">
        <v>0.00180</v>
      </c>
      <c r="G103" t="str">
        <v>0.00153</v>
      </c>
      <c r="H103" t="str">
        <v>0.6157</v>
      </c>
      <c r="I103" t="str">
        <v>0.1001%</v>
      </c>
    </row>
    <row r="104">
      <c r="A104" t="str">
        <v>L2</v>
      </c>
      <c r="B104" t="str">
        <v>3連</v>
      </c>
      <c r="C104" t="str">
        <v>0.2358%</v>
      </c>
      <c r="D104" t="str">
        <v>0.00640</v>
      </c>
      <c r="E104" t="str">
        <v>0.00845</v>
      </c>
      <c r="F104" t="str">
        <v>0.01153</v>
      </c>
      <c r="G104" t="str">
        <v>0.00946</v>
      </c>
      <c r="H104" t="str">
        <v>0.1087</v>
      </c>
      <c r="I104" t="str">
        <v>0.6405%</v>
      </c>
    </row>
    <row r="105">
      <c r="A105" t="str">
        <v>L2</v>
      </c>
      <c r="B105" t="str">
        <v>4連</v>
      </c>
      <c r="C105" t="str">
        <v>0.0472%</v>
      </c>
      <c r="D105" t="str">
        <v>0.00299</v>
      </c>
      <c r="E105" t="str">
        <v>0.00395</v>
      </c>
      <c r="F105" t="str">
        <v>0.00538</v>
      </c>
      <c r="G105" t="str">
        <v>0.00373</v>
      </c>
      <c r="H105" t="str">
        <v>0.2535</v>
      </c>
      <c r="I105" t="str">
        <v>0.2989%</v>
      </c>
    </row>
    <row r="106">
      <c r="A106" t="str">
        <v>L2</v>
      </c>
      <c r="B106" t="str">
        <v>5連</v>
      </c>
      <c r="C106" t="str">
        <v>0.0094%</v>
      </c>
      <c r="D106" t="str">
        <v>0.00145</v>
      </c>
      <c r="E106" t="str">
        <v>0.00192</v>
      </c>
      <c r="F106" t="str">
        <v>0.00261</v>
      </c>
      <c r="G106" t="str">
        <v>0.00153</v>
      </c>
      <c r="H106" t="str">
        <v>0.6157</v>
      </c>
      <c r="I106" t="str">
        <v>0.1452%</v>
      </c>
    </row>
    <row r="107">
      <c r="A107" t="str">
        <v>L3</v>
      </c>
      <c r="B107" t="str">
        <v>3連</v>
      </c>
      <c r="C107" t="str">
        <v>0.3391%</v>
      </c>
      <c r="D107" t="str">
        <v>0.00614</v>
      </c>
      <c r="E107" t="str">
        <v>0.00811</v>
      </c>
      <c r="F107" t="str">
        <v>0.01105</v>
      </c>
      <c r="G107" t="str">
        <v>0.00792</v>
      </c>
      <c r="H107" t="str">
        <v>0.0724</v>
      </c>
      <c r="I107" t="str">
        <v>0.6140%</v>
      </c>
    </row>
    <row r="108">
      <c r="A108" t="str">
        <v>L3</v>
      </c>
      <c r="B108" t="str">
        <v>4連</v>
      </c>
      <c r="C108" t="str">
        <v>0.0790%</v>
      </c>
      <c r="D108" t="str">
        <v>0.00357</v>
      </c>
      <c r="E108" t="str">
        <v>0.00472</v>
      </c>
      <c r="F108" t="str">
        <v>0.00643</v>
      </c>
      <c r="G108" t="str">
        <v>0.00365</v>
      </c>
      <c r="H108" t="str">
        <v>0.1811</v>
      </c>
      <c r="I108" t="str">
        <v>0.3575%</v>
      </c>
    </row>
    <row r="109">
      <c r="A109" t="str">
        <v>L3</v>
      </c>
      <c r="B109" t="str">
        <v>5連</v>
      </c>
      <c r="C109" t="str">
        <v>0.0184%</v>
      </c>
      <c r="D109" t="str">
        <v>0.00216</v>
      </c>
      <c r="E109" t="str">
        <v>0.00286</v>
      </c>
      <c r="F109" t="str">
        <v>0.00390</v>
      </c>
      <c r="G109" t="str">
        <v>0.00175</v>
      </c>
      <c r="H109" t="str">
        <v>0.4709</v>
      </c>
      <c r="I109" t="str">
        <v>0.2165%</v>
      </c>
    </row>
    <row r="110">
      <c r="A110" t="str">
        <v>L4</v>
      </c>
      <c r="B110" t="str">
        <v>3連</v>
      </c>
      <c r="C110" t="str">
        <v>0.3391%</v>
      </c>
      <c r="D110" t="str">
        <v>0.00614</v>
      </c>
      <c r="E110" t="str">
        <v>0.00811</v>
      </c>
      <c r="F110" t="str">
        <v>0.01105</v>
      </c>
      <c r="G110" t="str">
        <v>0.00792</v>
      </c>
      <c r="H110" t="str">
        <v>0.0724</v>
      </c>
      <c r="I110" t="str">
        <v>0.6140%</v>
      </c>
    </row>
    <row r="111">
      <c r="A111" t="str">
        <v>L4</v>
      </c>
      <c r="B111" t="str">
        <v>4連</v>
      </c>
      <c r="C111" t="str">
        <v>0.0790%</v>
      </c>
      <c r="D111" t="str">
        <v>0.00357</v>
      </c>
      <c r="E111" t="str">
        <v>0.00472</v>
      </c>
      <c r="F111" t="str">
        <v>0.00643</v>
      </c>
      <c r="G111" t="str">
        <v>0.00365</v>
      </c>
      <c r="H111" t="str">
        <v>0.1811</v>
      </c>
      <c r="I111" t="str">
        <v>0.3575%</v>
      </c>
    </row>
    <row r="112">
      <c r="A112" t="str">
        <v>L4</v>
      </c>
      <c r="B112" t="str">
        <v>5連</v>
      </c>
      <c r="C112" t="str">
        <v>0.0184%</v>
      </c>
      <c r="D112" t="str">
        <v>0.00216</v>
      </c>
      <c r="E112" t="str">
        <v>0.00286</v>
      </c>
      <c r="F112" t="str">
        <v>0.00390</v>
      </c>
      <c r="G112" t="str">
        <v>0.00175</v>
      </c>
      <c r="H112" t="str">
        <v>0.4709</v>
      </c>
      <c r="I112" t="str">
        <v>0.2165%</v>
      </c>
    </row>
    <row r="113">
      <c r="A113" t="str">
        <v>合計 base spin RTP 貢獻（25線，無cascade）</v>
      </c>
      <c r="B113" t="str">
        <v/>
      </c>
      <c r="C113" t="str">
        <v/>
      </c>
      <c r="D113" t="str">
        <v/>
      </c>
      <c r="E113" t="str">
        <v/>
      </c>
      <c r="F113" t="str">
        <v/>
      </c>
      <c r="G113" t="str">
        <v/>
      </c>
      <c r="H113" t="str">
        <v/>
      </c>
      <c r="I113" t="str">
        <v>11.848%</v>
      </c>
    </row>
    <row r="115">
      <c r="A115" t="str">
        <v>── 情境3/4 BuyFG（base spin） ──</v>
      </c>
    </row>
    <row r="116">
      <c r="A116" t="str">
        <v>符號</v>
      </c>
      <c r="B116" t="str">
        <v>連線數</v>
      </c>
      <c r="C116" t="str">
        <v>單線命中率%</v>
      </c>
      <c r="D116" t="str">
        <v>25條EV</v>
      </c>
      <c r="E116" t="str">
        <v>33條EV</v>
      </c>
      <c r="F116" t="str">
        <v>45條EV</v>
      </c>
      <c r="G116" t="str">
        <v>57條EV</v>
      </c>
      <c r="H116" t="str">
        <v>賠率(×bet)</v>
      </c>
      <c r="I116" t="str">
        <v>RTP貢獻@25線%</v>
      </c>
    </row>
    <row r="117">
      <c r="A117" t="str">
        <v>W</v>
      </c>
      <c r="B117" t="str">
        <v>3連</v>
      </c>
      <c r="C117" t="str">
        <v>0.0040%</v>
      </c>
      <c r="D117" t="str">
        <v>0.00062</v>
      </c>
      <c r="E117" t="str">
        <v>0.00081</v>
      </c>
      <c r="F117" t="str">
        <v>0.00111</v>
      </c>
      <c r="G117" t="str">
        <v>0.01023</v>
      </c>
      <c r="H117" t="str">
        <v>0.6157</v>
      </c>
      <c r="I117" t="str">
        <v>0.0617%</v>
      </c>
    </row>
    <row r="118">
      <c r="A118" t="str">
        <v>W</v>
      </c>
      <c r="B118" t="str">
        <v>4連</v>
      </c>
      <c r="C118" t="str">
        <v>0.0002%</v>
      </c>
      <c r="D118" t="str">
        <v>0.00007</v>
      </c>
      <c r="E118" t="str">
        <v>0.00010</v>
      </c>
      <c r="F118" t="str">
        <v>0.00013</v>
      </c>
      <c r="G118" t="str">
        <v>0.00252</v>
      </c>
      <c r="H118" t="str">
        <v>1.5575</v>
      </c>
      <c r="I118" t="str">
        <v>0.0073%</v>
      </c>
    </row>
    <row r="119">
      <c r="A119" t="str">
        <v>W</v>
      </c>
      <c r="B119" t="str">
        <v>5連</v>
      </c>
      <c r="C119" t="str">
        <v>0.0000%</v>
      </c>
      <c r="D119" t="str">
        <v>0.00001</v>
      </c>
      <c r="E119" t="str">
        <v>0.00001</v>
      </c>
      <c r="F119" t="str">
        <v>0.00002</v>
      </c>
      <c r="G119" t="str">
        <v>0.00067</v>
      </c>
      <c r="H119" t="str">
        <v>4.2377</v>
      </c>
      <c r="I119" t="str">
        <v>0.0009%</v>
      </c>
    </row>
    <row r="120">
      <c r="A120" t="str">
        <v>P1</v>
      </c>
      <c r="B120" t="str">
        <v>3連</v>
      </c>
      <c r="C120" t="str">
        <v>0.0040%</v>
      </c>
      <c r="D120" t="str">
        <v>0.00062</v>
      </c>
      <c r="E120" t="str">
        <v>0.00081</v>
      </c>
      <c r="F120" t="str">
        <v>0.00111</v>
      </c>
      <c r="G120" t="str">
        <v>0.05360</v>
      </c>
      <c r="H120" t="str">
        <v>0.6157</v>
      </c>
      <c r="I120" t="str">
        <v>0.0617%</v>
      </c>
    </row>
    <row r="121">
      <c r="A121" t="str">
        <v>P1</v>
      </c>
      <c r="B121" t="str">
        <v>4連</v>
      </c>
      <c r="C121" t="str">
        <v>0.0002%</v>
      </c>
      <c r="D121" t="str">
        <v>0.00007</v>
      </c>
      <c r="E121" t="str">
        <v>0.00010</v>
      </c>
      <c r="F121" t="str">
        <v>0.00013</v>
      </c>
      <c r="G121" t="str">
        <v>0.02289</v>
      </c>
      <c r="H121" t="str">
        <v>1.5575</v>
      </c>
      <c r="I121" t="str">
        <v>0.0073%</v>
      </c>
    </row>
    <row r="122">
      <c r="A122" t="str">
        <v>P1</v>
      </c>
      <c r="B122" t="str">
        <v>5連</v>
      </c>
      <c r="C122" t="str">
        <v>0.0000%</v>
      </c>
      <c r="D122" t="str">
        <v>0.00001</v>
      </c>
      <c r="E122" t="str">
        <v>0.00001</v>
      </c>
      <c r="F122" t="str">
        <v>0.00002</v>
      </c>
      <c r="G122" t="str">
        <v>0.01052</v>
      </c>
      <c r="H122" t="str">
        <v>4.2377</v>
      </c>
      <c r="I122" t="str">
        <v>0.0009%</v>
      </c>
    </row>
    <row r="123">
      <c r="A123" t="str">
        <v>P2</v>
      </c>
      <c r="B123" t="str">
        <v>3連</v>
      </c>
      <c r="C123" t="str">
        <v>0.0092%</v>
      </c>
      <c r="D123" t="str">
        <v>0.00091</v>
      </c>
      <c r="E123" t="str">
        <v>0.00121</v>
      </c>
      <c r="F123" t="str">
        <v>0.00165</v>
      </c>
      <c r="G123" t="str">
        <v>0.04354</v>
      </c>
      <c r="H123" t="str">
        <v>0.3984</v>
      </c>
      <c r="I123" t="str">
        <v>0.0914%</v>
      </c>
    </row>
    <row r="124">
      <c r="A124" t="str">
        <v>P2</v>
      </c>
      <c r="B124" t="str">
        <v>4連</v>
      </c>
      <c r="C124" t="str">
        <v>0.0005%</v>
      </c>
      <c r="D124" t="str">
        <v>0.00013</v>
      </c>
      <c r="E124" t="str">
        <v>0.00017</v>
      </c>
      <c r="F124" t="str">
        <v>0.00024</v>
      </c>
      <c r="G124" t="str">
        <v>0.01969</v>
      </c>
      <c r="H124" t="str">
        <v>0.9779</v>
      </c>
      <c r="I124" t="str">
        <v>0.0132%</v>
      </c>
    </row>
    <row r="125">
      <c r="A125" t="str">
        <v>P2</v>
      </c>
      <c r="B125" t="str">
        <v>5連</v>
      </c>
      <c r="C125" t="str">
        <v>0.0000%</v>
      </c>
      <c r="D125" t="str">
        <v>0.00002</v>
      </c>
      <c r="E125" t="str">
        <v>0.00003</v>
      </c>
      <c r="F125" t="str">
        <v>0.00003</v>
      </c>
      <c r="G125" t="str">
        <v>0.00900</v>
      </c>
      <c r="H125" t="str">
        <v>2.4267</v>
      </c>
      <c r="I125" t="str">
        <v>0.0019%</v>
      </c>
    </row>
    <row r="126">
      <c r="A126" t="str">
        <v>P3</v>
      </c>
      <c r="B126" t="str">
        <v>3連</v>
      </c>
      <c r="C126" t="str">
        <v>0.0092%</v>
      </c>
      <c r="D126" t="str">
        <v>0.00075</v>
      </c>
      <c r="E126" t="str">
        <v>0.00099</v>
      </c>
      <c r="F126" t="str">
        <v>0.00135</v>
      </c>
      <c r="G126" t="str">
        <v>0.04381</v>
      </c>
      <c r="H126" t="str">
        <v>0.3260</v>
      </c>
      <c r="I126" t="str">
        <v>0.0748%</v>
      </c>
    </row>
    <row r="127">
      <c r="A127" t="str">
        <v>P3</v>
      </c>
      <c r="B127" t="str">
        <v>4連</v>
      </c>
      <c r="C127" t="str">
        <v>0.0005%</v>
      </c>
      <c r="D127" t="str">
        <v>0.00011</v>
      </c>
      <c r="E127" t="str">
        <v>0.00015</v>
      </c>
      <c r="F127" t="str">
        <v>0.00020</v>
      </c>
      <c r="G127" t="str">
        <v>0.02239</v>
      </c>
      <c r="H127" t="str">
        <v>0.8331</v>
      </c>
      <c r="I127" t="str">
        <v>0.0112%</v>
      </c>
    </row>
    <row r="128">
      <c r="A128" t="str">
        <v>P3</v>
      </c>
      <c r="B128" t="str">
        <v>5連</v>
      </c>
      <c r="C128" t="str">
        <v>0.0000%</v>
      </c>
      <c r="D128" t="str">
        <v>0.00002</v>
      </c>
      <c r="E128" t="str">
        <v>0.00003</v>
      </c>
      <c r="F128" t="str">
        <v>0.00003</v>
      </c>
      <c r="G128" t="str">
        <v>0.01304</v>
      </c>
      <c r="H128" t="str">
        <v>2.4267</v>
      </c>
      <c r="I128" t="str">
        <v>0.0019%</v>
      </c>
    </row>
    <row r="129">
      <c r="A129" t="str">
        <v>P4</v>
      </c>
      <c r="B129" t="str">
        <v>3連</v>
      </c>
      <c r="C129" t="str">
        <v>0.0437%</v>
      </c>
      <c r="D129" t="str">
        <v>0.00277</v>
      </c>
      <c r="E129" t="str">
        <v>0.00366</v>
      </c>
      <c r="F129" t="str">
        <v>0.00499</v>
      </c>
      <c r="G129" t="str">
        <v>0.04117</v>
      </c>
      <c r="H129" t="str">
        <v>0.2535</v>
      </c>
      <c r="I129" t="str">
        <v>0.2772%</v>
      </c>
    </row>
    <row r="130">
      <c r="A130" t="str">
        <v>P4</v>
      </c>
      <c r="B130" t="str">
        <v>4連</v>
      </c>
      <c r="C130" t="str">
        <v>0.0043%</v>
      </c>
      <c r="D130" t="str">
        <v>0.00066</v>
      </c>
      <c r="E130" t="str">
        <v>0.00087</v>
      </c>
      <c r="F130" t="str">
        <v>0.00118</v>
      </c>
      <c r="G130" t="str">
        <v>0.02162</v>
      </c>
      <c r="H130" t="str">
        <v>0.6157</v>
      </c>
      <c r="I130" t="str">
        <v>0.0657%</v>
      </c>
    </row>
    <row r="131">
      <c r="A131" t="str">
        <v>P4</v>
      </c>
      <c r="B131" t="str">
        <v>5連</v>
      </c>
      <c r="C131" t="str">
        <v>0.0004%</v>
      </c>
      <c r="D131" t="str">
        <v>0.00021</v>
      </c>
      <c r="E131" t="str">
        <v>0.00028</v>
      </c>
      <c r="F131" t="str">
        <v>0.00039</v>
      </c>
      <c r="G131" t="str">
        <v>0.01567</v>
      </c>
      <c r="H131" t="str">
        <v>2.0645</v>
      </c>
      <c r="I131" t="str">
        <v>0.0215%</v>
      </c>
    </row>
    <row r="132">
      <c r="A132" t="str">
        <v>L1</v>
      </c>
      <c r="B132" t="str">
        <v>3連</v>
      </c>
      <c r="C132" t="str">
        <v>0.3324%</v>
      </c>
      <c r="D132" t="str">
        <v>0.00903</v>
      </c>
      <c r="E132" t="str">
        <v>0.01192</v>
      </c>
      <c r="F132" t="str">
        <v>0.01625</v>
      </c>
      <c r="G132" t="str">
        <v>0.00946</v>
      </c>
      <c r="H132" t="str">
        <v>0.1087</v>
      </c>
      <c r="I132" t="str">
        <v>0.9029%</v>
      </c>
    </row>
    <row r="133">
      <c r="A133" t="str">
        <v>L1</v>
      </c>
      <c r="B133" t="str">
        <v>4連</v>
      </c>
      <c r="C133" t="str">
        <v>0.0719%</v>
      </c>
      <c r="D133" t="str">
        <v>0.00456</v>
      </c>
      <c r="E133" t="str">
        <v>0.00601</v>
      </c>
      <c r="F133" t="str">
        <v>0.00820</v>
      </c>
      <c r="G133" t="str">
        <v>0.00373</v>
      </c>
      <c r="H133" t="str">
        <v>0.2535</v>
      </c>
      <c r="I133" t="str">
        <v>0.4555%</v>
      </c>
    </row>
    <row r="134">
      <c r="A134" t="str">
        <v>L1</v>
      </c>
      <c r="B134" t="str">
        <v>5連</v>
      </c>
      <c r="C134" t="str">
        <v>0.0155%</v>
      </c>
      <c r="D134" t="str">
        <v>0.00239</v>
      </c>
      <c r="E134" t="str">
        <v>0.00316</v>
      </c>
      <c r="F134" t="str">
        <v>0.00431</v>
      </c>
      <c r="G134" t="str">
        <v>0.00153</v>
      </c>
      <c r="H134" t="str">
        <v>0.6157</v>
      </c>
      <c r="I134" t="str">
        <v>0.2392%</v>
      </c>
    </row>
    <row r="135">
      <c r="A135" t="str">
        <v>L2</v>
      </c>
      <c r="B135" t="str">
        <v>3連</v>
      </c>
      <c r="C135" t="str">
        <v>0.3324%</v>
      </c>
      <c r="D135" t="str">
        <v>0.00903</v>
      </c>
      <c r="E135" t="str">
        <v>0.01192</v>
      </c>
      <c r="F135" t="str">
        <v>0.01625</v>
      </c>
      <c r="G135" t="str">
        <v>0.00946</v>
      </c>
      <c r="H135" t="str">
        <v>0.1087</v>
      </c>
      <c r="I135" t="str">
        <v>0.9029%</v>
      </c>
    </row>
    <row r="136">
      <c r="A136" t="str">
        <v>L2</v>
      </c>
      <c r="B136" t="str">
        <v>4連</v>
      </c>
      <c r="C136" t="str">
        <v>0.0719%</v>
      </c>
      <c r="D136" t="str">
        <v>0.00456</v>
      </c>
      <c r="E136" t="str">
        <v>0.00601</v>
      </c>
      <c r="F136" t="str">
        <v>0.00820</v>
      </c>
      <c r="G136" t="str">
        <v>0.00373</v>
      </c>
      <c r="H136" t="str">
        <v>0.2535</v>
      </c>
      <c r="I136" t="str">
        <v>0.4555%</v>
      </c>
    </row>
    <row r="137">
      <c r="A137" t="str">
        <v>L2</v>
      </c>
      <c r="B137" t="str">
        <v>5連</v>
      </c>
      <c r="C137" t="str">
        <v>0.0155%</v>
      </c>
      <c r="D137" t="str">
        <v>0.00239</v>
      </c>
      <c r="E137" t="str">
        <v>0.00316</v>
      </c>
      <c r="F137" t="str">
        <v>0.00431</v>
      </c>
      <c r="G137" t="str">
        <v>0.00153</v>
      </c>
      <c r="H137" t="str">
        <v>0.6157</v>
      </c>
      <c r="I137" t="str">
        <v>0.2392%</v>
      </c>
    </row>
    <row r="138">
      <c r="A138" t="str">
        <v>L3</v>
      </c>
      <c r="B138" t="str">
        <v>3連</v>
      </c>
      <c r="C138" t="str">
        <v>0.6756%</v>
      </c>
      <c r="D138" t="str">
        <v>0.01223</v>
      </c>
      <c r="E138" t="str">
        <v>0.01615</v>
      </c>
      <c r="F138" t="str">
        <v>0.02202</v>
      </c>
      <c r="G138" t="str">
        <v>0.00792</v>
      </c>
      <c r="H138" t="str">
        <v>0.0724</v>
      </c>
      <c r="I138" t="str">
        <v>1.2235%</v>
      </c>
    </row>
    <row r="139">
      <c r="A139" t="str">
        <v>L3</v>
      </c>
      <c r="B139" t="str">
        <v>4連</v>
      </c>
      <c r="C139" t="str">
        <v>0.2056%</v>
      </c>
      <c r="D139" t="str">
        <v>0.00931</v>
      </c>
      <c r="E139" t="str">
        <v>0.01229</v>
      </c>
      <c r="F139" t="str">
        <v>0.01676</v>
      </c>
      <c r="G139" t="str">
        <v>0.00365</v>
      </c>
      <c r="H139" t="str">
        <v>0.1811</v>
      </c>
      <c r="I139" t="str">
        <v>0.9309%</v>
      </c>
    </row>
    <row r="140">
      <c r="A140" t="str">
        <v>L3</v>
      </c>
      <c r="B140" t="str">
        <v>5連</v>
      </c>
      <c r="C140" t="str">
        <v>0.0626%</v>
      </c>
      <c r="D140" t="str">
        <v>0.00737</v>
      </c>
      <c r="E140" t="str">
        <v>0.00972</v>
      </c>
      <c r="F140" t="str">
        <v>0.01326</v>
      </c>
      <c r="G140" t="str">
        <v>0.00175</v>
      </c>
      <c r="H140" t="str">
        <v>0.4709</v>
      </c>
      <c r="I140" t="str">
        <v>0.7366%</v>
      </c>
    </row>
    <row r="141">
      <c r="A141" t="str">
        <v>L4</v>
      </c>
      <c r="B141" t="str">
        <v>3連</v>
      </c>
      <c r="C141" t="str">
        <v>1.0285%</v>
      </c>
      <c r="D141" t="str">
        <v>0.01863</v>
      </c>
      <c r="E141" t="str">
        <v>0.02459</v>
      </c>
      <c r="F141" t="str">
        <v>0.03353</v>
      </c>
      <c r="G141" t="str">
        <v>0.00792</v>
      </c>
      <c r="H141" t="str">
        <v>0.0724</v>
      </c>
      <c r="I141" t="str">
        <v>1.8627%</v>
      </c>
    </row>
    <row r="142">
      <c r="A142" t="str">
        <v>L4</v>
      </c>
      <c r="B142" t="str">
        <v>4連</v>
      </c>
      <c r="C142" t="str">
        <v>0.3956%</v>
      </c>
      <c r="D142" t="str">
        <v>0.01791</v>
      </c>
      <c r="E142" t="str">
        <v>0.02364</v>
      </c>
      <c r="F142" t="str">
        <v>0.03224</v>
      </c>
      <c r="G142" t="str">
        <v>0.00365</v>
      </c>
      <c r="H142" t="str">
        <v>0.1811</v>
      </c>
      <c r="I142" t="str">
        <v>1.7910%</v>
      </c>
    </row>
    <row r="143">
      <c r="A143" t="str">
        <v>L4</v>
      </c>
      <c r="B143" t="str">
        <v>5連</v>
      </c>
      <c r="C143" t="str">
        <v>0.1522%</v>
      </c>
      <c r="D143" t="str">
        <v>0.01791</v>
      </c>
      <c r="E143" t="str">
        <v>0.02364</v>
      </c>
      <c r="F143" t="str">
        <v>0.03224</v>
      </c>
      <c r="G143" t="str">
        <v>0.00175</v>
      </c>
      <c r="H143" t="str">
        <v>0.4709</v>
      </c>
      <c r="I143" t="str">
        <v>1.7910%</v>
      </c>
    </row>
    <row r="144">
      <c r="A144" t="str">
        <v>合計 base spin RTP 貢獻（25線，無cascade）</v>
      </c>
      <c r="B144" t="str">
        <v/>
      </c>
      <c r="C144" t="str">
        <v/>
      </c>
      <c r="D144" t="str">
        <v/>
      </c>
      <c r="E144" t="str">
        <v/>
      </c>
      <c r="F144" t="str">
        <v/>
      </c>
      <c r="G144" t="str">
        <v/>
      </c>
      <c r="H144" t="str">
        <v/>
      </c>
      <c r="I144" t="str">
        <v>12.229%</v>
      </c>
    </row>
  </sheetData>
  <ignoredErrors>
    <ignoredError numberStoredAsText="1" sqref="A1:I144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G99"/>
  <sheetViews>
    <sheetView workbookViewId="0" rightToLeft="0"/>
  </sheetViews>
  <sheetData>
    <row r="1">
      <c r="A1" t="str">
        <v>ENG_TOOLS — 工程工具計算用（由 build_config.js 自動產生，請勿手動修改）</v>
      </c>
    </row>
    <row r="2">
      <c r="A2" t="str">
        <v>產生時間：2026-04-09 05:45:39</v>
      </c>
    </row>
    <row r="3">
      <c r="A3" t="str">
        <v>說明：此 tab 供 engine_generator.js / excel_simulator.js / verify.js 讀取，格式固定</v>
      </c>
    </row>
    <row r="4">
      <c r="A4" t="str">
        <v>注意：Section 1 賠率與 Section 2 符號機率均引用 DATA tab 公式，DATA 改動後自動更新</v>
      </c>
    </row>
    <row r="6">
      <c r="A6" t="str">
        <v>── 1. 已解算賠率矩陣（BASE_PAYTABLE × PAYTABLE_SCALE — Excel公式，DATA改動自動更新）──</v>
      </c>
    </row>
    <row r="7">
      <c r="A7" t="str">
        <v>注意：四情境共用同一賠率（無 per-mode scale，EDD 規定）</v>
      </c>
    </row>
    <row r="8">
      <c r="A8" t="str">
        <v>情境</v>
      </c>
      <c r="B8" t="str">
        <v>符號</v>
      </c>
      <c r="C8" t="str">
        <v>3連賠率</v>
      </c>
      <c r="D8" t="str">
        <v>4連賠率</v>
      </c>
      <c r="E8" t="str">
        <v>5連賠率</v>
      </c>
    </row>
    <row r="9">
      <c r="A9" t="str">
        <v>Main Game</v>
      </c>
      <c r="B9" t="str">
        <v>W</v>
      </c>
      <c r="C9">
        <f>DATA!B17*DATA!B28</f>
        <v>0.6157</v>
      </c>
      <c r="D9">
        <f>DATA!C17*DATA!B28</f>
        <v>1.5575</v>
      </c>
      <c r="E9">
        <f>DATA!D17*DATA!B28</f>
        <v>4.2377</v>
      </c>
    </row>
    <row r="10">
      <c r="A10" t="str">
        <v>Main Game</v>
      </c>
      <c r="B10" t="str">
        <v>P1</v>
      </c>
      <c r="C10">
        <f>DATA!B18*DATA!B28</f>
        <v>0.6157</v>
      </c>
      <c r="D10">
        <f>DATA!C18*DATA!B28</f>
        <v>1.5575</v>
      </c>
      <c r="E10">
        <f>DATA!D18*DATA!B28</f>
        <v>4.2377</v>
      </c>
    </row>
    <row r="11">
      <c r="A11" t="str">
        <v>Main Game</v>
      </c>
      <c r="B11" t="str">
        <v>P2</v>
      </c>
      <c r="C11">
        <f>DATA!B19*DATA!B28</f>
        <v>0.3984</v>
      </c>
      <c r="D11">
        <f>DATA!C19*DATA!B28</f>
        <v>0.9779</v>
      </c>
      <c r="E11">
        <f>DATA!D19*DATA!B28</f>
        <v>2.4267</v>
      </c>
    </row>
    <row r="12">
      <c r="A12" t="str">
        <v>Main Game</v>
      </c>
      <c r="B12" t="str">
        <v>P3</v>
      </c>
      <c r="C12">
        <f>DATA!B20*DATA!B28</f>
        <v>0.326</v>
      </c>
      <c r="D12">
        <f>DATA!C20*DATA!B28</f>
        <v>0.8331</v>
      </c>
      <c r="E12">
        <f>DATA!D20*DATA!B28</f>
        <v>2.4267</v>
      </c>
    </row>
    <row r="13">
      <c r="A13" t="str">
        <v>Main Game</v>
      </c>
      <c r="B13" t="str">
        <v>P4</v>
      </c>
      <c r="C13">
        <f>DATA!B21*DATA!B28</f>
        <v>0.2535</v>
      </c>
      <c r="D13">
        <f>DATA!C21*DATA!B28</f>
        <v>0.6157</v>
      </c>
      <c r="E13">
        <f>DATA!D21*DATA!B28</f>
        <v>2.0645</v>
      </c>
    </row>
    <row r="14">
      <c r="A14" t="str">
        <v>Main Game</v>
      </c>
      <c r="B14" t="str">
        <v>L1</v>
      </c>
      <c r="C14">
        <f>DATA!B22*DATA!B28</f>
        <v>0.1087</v>
      </c>
      <c r="D14">
        <f>DATA!C22*DATA!B28</f>
        <v>0.2535</v>
      </c>
      <c r="E14">
        <f>DATA!D22*DATA!B28</f>
        <v>0.6157</v>
      </c>
    </row>
    <row r="15">
      <c r="A15" t="str">
        <v>Main Game</v>
      </c>
      <c r="B15" t="str">
        <v>L2</v>
      </c>
      <c r="C15">
        <f>DATA!B23*DATA!B28</f>
        <v>0.1087</v>
      </c>
      <c r="D15">
        <f>DATA!C23*DATA!B28</f>
        <v>0.2535</v>
      </c>
      <c r="E15">
        <f>DATA!D23*DATA!B28</f>
        <v>0.6157</v>
      </c>
    </row>
    <row r="16">
      <c r="A16" t="str">
        <v>Main Game</v>
      </c>
      <c r="B16" t="str">
        <v>L3</v>
      </c>
      <c r="C16">
        <f>DATA!B24*DATA!B28</f>
        <v>0.0724</v>
      </c>
      <c r="D16">
        <f>DATA!C24*DATA!B28</f>
        <v>0.1811</v>
      </c>
      <c r="E16">
        <f>DATA!D24*DATA!B28</f>
        <v>0.4709</v>
      </c>
    </row>
    <row r="17">
      <c r="A17" t="str">
        <v>Main Game</v>
      </c>
      <c r="B17" t="str">
        <v>L4</v>
      </c>
      <c r="C17">
        <f>DATA!B25*DATA!B28</f>
        <v>0.0724</v>
      </c>
      <c r="D17">
        <f>DATA!C25*DATA!B28</f>
        <v>0.1811</v>
      </c>
      <c r="E17">
        <f>DATA!D25*DATA!B28</f>
        <v>0.4709</v>
      </c>
    </row>
    <row r="18">
      <c r="A18" t="str">
        <v>Main Game</v>
      </c>
      <c r="B18" t="str">
        <v>SC</v>
      </c>
      <c r="C18">
        <v>0</v>
      </c>
      <c r="D18">
        <v>0</v>
      </c>
      <c r="E18">
        <v>0</v>
      </c>
    </row>
    <row r="19">
      <c r="A19" t="str">
        <v>Extra Bet</v>
      </c>
      <c r="B19" t="str">
        <v>W</v>
      </c>
      <c r="C19">
        <f>DATA!B17*DATA!B28</f>
        <v>0.6157</v>
      </c>
      <c r="D19">
        <f>DATA!C17*DATA!B28</f>
        <v>1.5575</v>
      </c>
      <c r="E19">
        <f>DATA!D17*DATA!B28</f>
        <v>4.2377</v>
      </c>
    </row>
    <row r="20">
      <c r="A20" t="str">
        <v>Extra Bet</v>
      </c>
      <c r="B20" t="str">
        <v>P1</v>
      </c>
      <c r="C20">
        <f>DATA!B18*DATA!B28</f>
        <v>0.6157</v>
      </c>
      <c r="D20">
        <f>DATA!C18*DATA!B28</f>
        <v>1.5575</v>
      </c>
      <c r="E20">
        <f>DATA!D18*DATA!B28</f>
        <v>4.2377</v>
      </c>
    </row>
    <row r="21">
      <c r="A21" t="str">
        <v>Extra Bet</v>
      </c>
      <c r="B21" t="str">
        <v>P2</v>
      </c>
      <c r="C21">
        <f>DATA!B19*DATA!B28</f>
        <v>0.3984</v>
      </c>
      <c r="D21">
        <f>DATA!C19*DATA!B28</f>
        <v>0.9779</v>
      </c>
      <c r="E21">
        <f>DATA!D19*DATA!B28</f>
        <v>2.4267</v>
      </c>
    </row>
    <row r="22">
      <c r="A22" t="str">
        <v>Extra Bet</v>
      </c>
      <c r="B22" t="str">
        <v>P3</v>
      </c>
      <c r="C22">
        <f>DATA!B20*DATA!B28</f>
        <v>0.326</v>
      </c>
      <c r="D22">
        <f>DATA!C20*DATA!B28</f>
        <v>0.8331</v>
      </c>
      <c r="E22">
        <f>DATA!D20*DATA!B28</f>
        <v>2.4267</v>
      </c>
    </row>
    <row r="23">
      <c r="A23" t="str">
        <v>Extra Bet</v>
      </c>
      <c r="B23" t="str">
        <v>P4</v>
      </c>
      <c r="C23">
        <f>DATA!B21*DATA!B28</f>
        <v>0.2535</v>
      </c>
      <c r="D23">
        <f>DATA!C21*DATA!B28</f>
        <v>0.6157</v>
      </c>
      <c r="E23">
        <f>DATA!D21*DATA!B28</f>
        <v>2.0645</v>
      </c>
    </row>
    <row r="24">
      <c r="A24" t="str">
        <v>Extra Bet</v>
      </c>
      <c r="B24" t="str">
        <v>L1</v>
      </c>
      <c r="C24">
        <f>DATA!B22*DATA!B28</f>
        <v>0.1087</v>
      </c>
      <c r="D24">
        <f>DATA!C22*DATA!B28</f>
        <v>0.2535</v>
      </c>
      <c r="E24">
        <f>DATA!D22*DATA!B28</f>
        <v>0.6157</v>
      </c>
    </row>
    <row r="25">
      <c r="A25" t="str">
        <v>Extra Bet</v>
      </c>
      <c r="B25" t="str">
        <v>L2</v>
      </c>
      <c r="C25">
        <f>DATA!B23*DATA!B28</f>
        <v>0.1087</v>
      </c>
      <c r="D25">
        <f>DATA!C23*DATA!B28</f>
        <v>0.2535</v>
      </c>
      <c r="E25">
        <f>DATA!D23*DATA!B28</f>
        <v>0.6157</v>
      </c>
    </row>
    <row r="26">
      <c r="A26" t="str">
        <v>Extra Bet</v>
      </c>
      <c r="B26" t="str">
        <v>L3</v>
      </c>
      <c r="C26">
        <f>DATA!B24*DATA!B28</f>
        <v>0.0724</v>
      </c>
      <c r="D26">
        <f>DATA!C24*DATA!B28</f>
        <v>0.1811</v>
      </c>
      <c r="E26">
        <f>DATA!D24*DATA!B28</f>
        <v>0.4709</v>
      </c>
    </row>
    <row r="27">
      <c r="A27" t="str">
        <v>Extra Bet</v>
      </c>
      <c r="B27" t="str">
        <v>L4</v>
      </c>
      <c r="C27">
        <f>DATA!B25*DATA!B28</f>
        <v>0.0724</v>
      </c>
      <c r="D27">
        <f>DATA!C25*DATA!B28</f>
        <v>0.1811</v>
      </c>
      <c r="E27">
        <f>DATA!D25*DATA!B28</f>
        <v>0.4709</v>
      </c>
    </row>
    <row r="28">
      <c r="A28" t="str">
        <v>Extra Bet</v>
      </c>
      <c r="B28" t="str">
        <v>SC</v>
      </c>
      <c r="C28">
        <v>0</v>
      </c>
      <c r="D28">
        <v>0</v>
      </c>
      <c r="E28">
        <v>0</v>
      </c>
    </row>
    <row r="29">
      <c r="A29" t="str">
        <v>Buy FG</v>
      </c>
      <c r="B29" t="str">
        <v>W</v>
      </c>
      <c r="C29">
        <f>DATA!B17*DATA!B28</f>
        <v>0.6157</v>
      </c>
      <c r="D29">
        <f>DATA!C17*DATA!B28</f>
        <v>1.5575</v>
      </c>
      <c r="E29">
        <f>DATA!D17*DATA!B28</f>
        <v>4.2377</v>
      </c>
    </row>
    <row r="30">
      <c r="A30" t="str">
        <v>Buy FG</v>
      </c>
      <c r="B30" t="str">
        <v>P1</v>
      </c>
      <c r="C30">
        <f>DATA!B18*DATA!B28</f>
        <v>0.6157</v>
      </c>
      <c r="D30">
        <f>DATA!C18*DATA!B28</f>
        <v>1.5575</v>
      </c>
      <c r="E30">
        <f>DATA!D18*DATA!B28</f>
        <v>4.2377</v>
      </c>
    </row>
    <row r="31">
      <c r="A31" t="str">
        <v>Buy FG</v>
      </c>
      <c r="B31" t="str">
        <v>P2</v>
      </c>
      <c r="C31">
        <f>DATA!B19*DATA!B28</f>
        <v>0.3984</v>
      </c>
      <c r="D31">
        <f>DATA!C19*DATA!B28</f>
        <v>0.9779</v>
      </c>
      <c r="E31">
        <f>DATA!D19*DATA!B28</f>
        <v>2.4267</v>
      </c>
    </row>
    <row r="32">
      <c r="A32" t="str">
        <v>Buy FG</v>
      </c>
      <c r="B32" t="str">
        <v>P3</v>
      </c>
      <c r="C32">
        <f>DATA!B20*DATA!B28</f>
        <v>0.326</v>
      </c>
      <c r="D32">
        <f>DATA!C20*DATA!B28</f>
        <v>0.8331</v>
      </c>
      <c r="E32">
        <f>DATA!D20*DATA!B28</f>
        <v>2.4267</v>
      </c>
    </row>
    <row r="33">
      <c r="A33" t="str">
        <v>Buy FG</v>
      </c>
      <c r="B33" t="str">
        <v>P4</v>
      </c>
      <c r="C33">
        <f>DATA!B21*DATA!B28</f>
        <v>0.2535</v>
      </c>
      <c r="D33">
        <f>DATA!C21*DATA!B28</f>
        <v>0.6157</v>
      </c>
      <c r="E33">
        <f>DATA!D21*DATA!B28</f>
        <v>2.0645</v>
      </c>
    </row>
    <row r="34">
      <c r="A34" t="str">
        <v>Buy FG</v>
      </c>
      <c r="B34" t="str">
        <v>L1</v>
      </c>
      <c r="C34">
        <f>DATA!B22*DATA!B28</f>
        <v>0.1087</v>
      </c>
      <c r="D34">
        <f>DATA!C22*DATA!B28</f>
        <v>0.2535</v>
      </c>
      <c r="E34">
        <f>DATA!D22*DATA!B28</f>
        <v>0.6157</v>
      </c>
    </row>
    <row r="35">
      <c r="A35" t="str">
        <v>Buy FG</v>
      </c>
      <c r="B35" t="str">
        <v>L2</v>
      </c>
      <c r="C35">
        <f>DATA!B23*DATA!B28</f>
        <v>0.1087</v>
      </c>
      <c r="D35">
        <f>DATA!C23*DATA!B28</f>
        <v>0.2535</v>
      </c>
      <c r="E35">
        <f>DATA!D23*DATA!B28</f>
        <v>0.6157</v>
      </c>
    </row>
    <row r="36">
      <c r="A36" t="str">
        <v>Buy FG</v>
      </c>
      <c r="B36" t="str">
        <v>L3</v>
      </c>
      <c r="C36">
        <f>DATA!B24*DATA!B28</f>
        <v>0.0724</v>
      </c>
      <c r="D36">
        <f>DATA!C24*DATA!B28</f>
        <v>0.1811</v>
      </c>
      <c r="E36">
        <f>DATA!D24*DATA!B28</f>
        <v>0.4709</v>
      </c>
    </row>
    <row r="37">
      <c r="A37" t="str">
        <v>Buy FG</v>
      </c>
      <c r="B37" t="str">
        <v>L4</v>
      </c>
      <c r="C37">
        <f>DATA!B25*DATA!B28</f>
        <v>0.0724</v>
      </c>
      <c r="D37">
        <f>DATA!C25*DATA!B28</f>
        <v>0.1811</v>
      </c>
      <c r="E37">
        <f>DATA!D25*DATA!B28</f>
        <v>0.4709</v>
      </c>
    </row>
    <row r="38">
      <c r="A38" t="str">
        <v>Buy FG</v>
      </c>
      <c r="B38" t="str">
        <v>SC</v>
      </c>
      <c r="C38">
        <v>0</v>
      </c>
      <c r="D38">
        <v>0</v>
      </c>
      <c r="E38">
        <v>0</v>
      </c>
    </row>
    <row r="39">
      <c r="A39" t="str">
        <v>EB+BuyFG</v>
      </c>
      <c r="B39" t="str">
        <v>W</v>
      </c>
      <c r="C39">
        <f>DATA!B17*DATA!B28</f>
        <v>0.6157</v>
      </c>
      <c r="D39">
        <f>DATA!C17*DATA!B28</f>
        <v>1.5575</v>
      </c>
      <c r="E39">
        <f>DATA!D17*DATA!B28</f>
        <v>4.2377</v>
      </c>
    </row>
    <row r="40">
      <c r="A40" t="str">
        <v>EB+BuyFG</v>
      </c>
      <c r="B40" t="str">
        <v>P1</v>
      </c>
      <c r="C40">
        <f>DATA!B18*DATA!B28</f>
        <v>0.6157</v>
      </c>
      <c r="D40">
        <f>DATA!C18*DATA!B28</f>
        <v>1.5575</v>
      </c>
      <c r="E40">
        <f>DATA!D18*DATA!B28</f>
        <v>4.2377</v>
      </c>
    </row>
    <row r="41">
      <c r="A41" t="str">
        <v>EB+BuyFG</v>
      </c>
      <c r="B41" t="str">
        <v>P2</v>
      </c>
      <c r="C41">
        <f>DATA!B19*DATA!B28</f>
        <v>0.3984</v>
      </c>
      <c r="D41">
        <f>DATA!C19*DATA!B28</f>
        <v>0.9779</v>
      </c>
      <c r="E41">
        <f>DATA!D19*DATA!B28</f>
        <v>2.4267</v>
      </c>
    </row>
    <row r="42">
      <c r="A42" t="str">
        <v>EB+BuyFG</v>
      </c>
      <c r="B42" t="str">
        <v>P3</v>
      </c>
      <c r="C42">
        <f>DATA!B20*DATA!B28</f>
        <v>0.326</v>
      </c>
      <c r="D42">
        <f>DATA!C20*DATA!B28</f>
        <v>0.8331</v>
      </c>
      <c r="E42">
        <f>DATA!D20*DATA!B28</f>
        <v>2.4267</v>
      </c>
    </row>
    <row r="43">
      <c r="A43" t="str">
        <v>EB+BuyFG</v>
      </c>
      <c r="B43" t="str">
        <v>P4</v>
      </c>
      <c r="C43">
        <f>DATA!B21*DATA!B28</f>
        <v>0.2535</v>
      </c>
      <c r="D43">
        <f>DATA!C21*DATA!B28</f>
        <v>0.6157</v>
      </c>
      <c r="E43">
        <f>DATA!D21*DATA!B28</f>
        <v>2.0645</v>
      </c>
    </row>
    <row r="44">
      <c r="A44" t="str">
        <v>EB+BuyFG</v>
      </c>
      <c r="B44" t="str">
        <v>L1</v>
      </c>
      <c r="C44">
        <f>DATA!B22*DATA!B28</f>
        <v>0.1087</v>
      </c>
      <c r="D44">
        <f>DATA!C22*DATA!B28</f>
        <v>0.2535</v>
      </c>
      <c r="E44">
        <f>DATA!D22*DATA!B28</f>
        <v>0.6157</v>
      </c>
    </row>
    <row r="45">
      <c r="A45" t="str">
        <v>EB+BuyFG</v>
      </c>
      <c r="B45" t="str">
        <v>L2</v>
      </c>
      <c r="C45">
        <f>DATA!B23*DATA!B28</f>
        <v>0.1087</v>
      </c>
      <c r="D45">
        <f>DATA!C23*DATA!B28</f>
        <v>0.2535</v>
      </c>
      <c r="E45">
        <f>DATA!D23*DATA!B28</f>
        <v>0.6157</v>
      </c>
    </row>
    <row r="46">
      <c r="A46" t="str">
        <v>EB+BuyFG</v>
      </c>
      <c r="B46" t="str">
        <v>L3</v>
      </c>
      <c r="C46">
        <f>DATA!B24*DATA!B28</f>
        <v>0.0724</v>
      </c>
      <c r="D46">
        <f>DATA!C24*DATA!B28</f>
        <v>0.1811</v>
      </c>
      <c r="E46">
        <f>DATA!D24*DATA!B28</f>
        <v>0.4709</v>
      </c>
    </row>
    <row r="47">
      <c r="A47" t="str">
        <v>EB+BuyFG</v>
      </c>
      <c r="B47" t="str">
        <v>L4</v>
      </c>
      <c r="C47">
        <f>DATA!B25*DATA!B28</f>
        <v>0.0724</v>
      </c>
      <c r="D47">
        <f>DATA!C25*DATA!B28</f>
        <v>0.1811</v>
      </c>
      <c r="E47">
        <f>DATA!D25*DATA!B28</f>
        <v>0.4709</v>
      </c>
    </row>
    <row r="48">
      <c r="A48" t="str">
        <v>EB+BuyFG</v>
      </c>
      <c r="B48" t="str">
        <v>SC</v>
      </c>
      <c r="C48">
        <v>0</v>
      </c>
      <c r="D48">
        <v>0</v>
      </c>
      <c r="E48">
        <v>0</v>
      </c>
    </row>
    <row r="50">
      <c r="A50" t="str">
        <v>── 2. 符號機率表（Excel公式，DATA改動後自動更新）──</v>
      </c>
    </row>
    <row r="51">
      <c r="A51" t="str">
        <v>符號</v>
      </c>
      <c r="B51" t="str">
        <v>MG %</v>
      </c>
      <c r="C51" t="str">
        <v>EB %</v>
      </c>
      <c r="D51" t="str">
        <v>FG %</v>
      </c>
      <c r="E51" t="str">
        <v>BuyFG %</v>
      </c>
    </row>
    <row r="52">
      <c r="A52" t="str">
        <v>W</v>
      </c>
      <c r="B52">
        <f>DATA!B352/SUM(DATA!B352:B361)*100</f>
        <v>3.3333</v>
      </c>
      <c r="C52">
        <f>DATA!C352/SUM(DATA!C352:C361)*100</f>
        <v>4.4444</v>
      </c>
      <c r="D52">
        <f>DATA!D352/SUM(DATA!D352:D361)*100</f>
        <v>4.4444</v>
      </c>
      <c r="E52">
        <f>DATA!E352/SUM(DATA!E352:E361)*100</f>
        <v>2.2222</v>
      </c>
    </row>
    <row r="53">
      <c r="A53" t="str">
        <v>SC</v>
      </c>
      <c r="B53">
        <f>DATA!B353/SUM(DATA!B352:B361)*100</f>
        <v>2.2222</v>
      </c>
      <c r="C53">
        <f>DATA!C353/SUM(DATA!C352:C361)*100</f>
        <v>7.7778</v>
      </c>
      <c r="D53">
        <f>DATA!D353/SUM(DATA!D352:D361)*100</f>
        <v>6.6667</v>
      </c>
      <c r="E53">
        <f>DATA!E353/SUM(DATA!E352:E361)*100</f>
        <v>4.4444</v>
      </c>
    </row>
    <row r="54">
      <c r="A54" t="str">
        <v>P1</v>
      </c>
      <c r="B54">
        <f>DATA!B354/SUM(DATA!B352:B361)*100</f>
        <v>6.6667</v>
      </c>
      <c r="C54">
        <f>DATA!C354/SUM(DATA!C352:C361)*100</f>
        <v>7.7778</v>
      </c>
      <c r="D54">
        <f>DATA!D354/SUM(DATA!D352:D361)*100</f>
        <v>10</v>
      </c>
      <c r="E54">
        <f>DATA!E354/SUM(DATA!E352:E361)*100</f>
        <v>2.2222</v>
      </c>
    </row>
    <row r="55">
      <c r="A55" t="str">
        <v>P2</v>
      </c>
      <c r="B55">
        <f>DATA!B355/SUM(DATA!B352:B361)*100</f>
        <v>7.7778</v>
      </c>
      <c r="C55">
        <f>DATA!C355/SUM(DATA!C352:C361)*100</f>
        <v>8.8889</v>
      </c>
      <c r="D55">
        <f>DATA!D355/SUM(DATA!D352:D361)*100</f>
        <v>11.1111</v>
      </c>
      <c r="E55">
        <f>DATA!E355/SUM(DATA!E352:E361)*100</f>
        <v>3.3333</v>
      </c>
    </row>
    <row r="56">
      <c r="A56" t="str">
        <v>P3</v>
      </c>
      <c r="B56">
        <f>DATA!B356/SUM(DATA!B352:B361)*100</f>
        <v>8.8889</v>
      </c>
      <c r="C56">
        <f>DATA!C356/SUM(DATA!C352:C361)*100</f>
        <v>8.8889</v>
      </c>
      <c r="D56">
        <f>DATA!D356/SUM(DATA!D352:D361)*100</f>
        <v>12.2222</v>
      </c>
      <c r="E56">
        <f>DATA!E356/SUM(DATA!E352:E361)*100</f>
        <v>3.3333</v>
      </c>
    </row>
    <row r="57">
      <c r="A57" t="str">
        <v>P4</v>
      </c>
      <c r="B57">
        <f>DATA!B357/SUM(DATA!B352:B361)*100</f>
        <v>11.1111</v>
      </c>
      <c r="C57">
        <f>DATA!C357/SUM(DATA!C352:C361)*100</f>
        <v>10</v>
      </c>
      <c r="D57">
        <f>DATA!D357/SUM(DATA!D352:D361)*100</f>
        <v>13.3333</v>
      </c>
      <c r="E57">
        <f>DATA!E357/SUM(DATA!E352:E361)*100</f>
        <v>6.6667</v>
      </c>
    </row>
    <row r="58">
      <c r="A58" t="str">
        <v>L1</v>
      </c>
      <c r="B58">
        <f>DATA!B358/SUM(DATA!B352:B361)*100</f>
        <v>14.4444</v>
      </c>
      <c r="C58">
        <f>DATA!C358/SUM(DATA!C352:C361)*100</f>
        <v>11.1111</v>
      </c>
      <c r="D58">
        <f>DATA!D358/SUM(DATA!D352:D361)*100</f>
        <v>10</v>
      </c>
      <c r="E58">
        <f>DATA!E358/SUM(DATA!E352:E361)*100</f>
        <v>15.5556</v>
      </c>
    </row>
    <row r="59">
      <c r="A59" t="str">
        <v>L2</v>
      </c>
      <c r="B59">
        <f>DATA!B359/SUM(DATA!B352:B361)*100</f>
        <v>14.4444</v>
      </c>
      <c r="C59">
        <f>DATA!C359/SUM(DATA!C352:C361)*100</f>
        <v>12.2222</v>
      </c>
      <c r="D59">
        <f>DATA!D359/SUM(DATA!D352:D361)*100</f>
        <v>10</v>
      </c>
      <c r="E59">
        <f>DATA!E359/SUM(DATA!E352:E361)*100</f>
        <v>15.5556</v>
      </c>
    </row>
    <row r="60">
      <c r="A60" t="str">
        <v>L3</v>
      </c>
      <c r="B60">
        <f>DATA!B360/SUM(DATA!B352:B361)*100</f>
        <v>15.5556</v>
      </c>
      <c r="C60">
        <f>DATA!C360/SUM(DATA!C352:C361)*100</f>
        <v>14.4444</v>
      </c>
      <c r="D60">
        <f>DATA!D360/SUM(DATA!D352:D361)*100</f>
        <v>11.1111</v>
      </c>
      <c r="E60">
        <f>DATA!E360/SUM(DATA!E352:E361)*100</f>
        <v>21.1111</v>
      </c>
    </row>
    <row r="61">
      <c r="A61" t="str">
        <v>L4</v>
      </c>
      <c r="B61">
        <f>DATA!B361/SUM(DATA!B352:B361)*100</f>
        <v>15.5556</v>
      </c>
      <c r="C61">
        <f>DATA!C361/SUM(DATA!C352:C361)*100</f>
        <v>14.4444</v>
      </c>
      <c r="D61">
        <f>DATA!D361/SUM(DATA!D352:D361)*100</f>
        <v>11.1111</v>
      </c>
      <c r="E61">
        <f>DATA!E361/SUM(DATA!E352:E361)*100</f>
        <v>25.5556</v>
      </c>
    </row>
    <row r="63">
      <c r="A63" t="str">
        <v>── 3. 理論連線命中率（Main Game 25線）──</v>
      </c>
    </row>
    <row r="64">
      <c r="A64" t="str">
        <v>符號</v>
      </c>
      <c r="B64" t="str">
        <v>3連單線P</v>
      </c>
      <c r="C64" t="str">
        <v>4連單線P</v>
      </c>
      <c r="D64" t="str">
        <v>5連單線P</v>
      </c>
      <c r="E64" t="str">
        <v>3連×25線EV</v>
      </c>
      <c r="F64" t="str">
        <v>4連×25線EV</v>
      </c>
      <c r="G64" t="str">
        <v>5連×25線EV</v>
      </c>
    </row>
    <row r="65">
      <c r="A65" t="str">
        <v>W</v>
      </c>
      <c r="B65">
        <v>0.0001290535</v>
      </c>
      <c r="C65">
        <v>0.000009218107</v>
      </c>
      <c r="D65">
        <v>6.584362e-7</v>
      </c>
      <c r="E65">
        <v>0.001986</v>
      </c>
      <c r="F65">
        <v>0.000359</v>
      </c>
      <c r="G65">
        <v>0.00007</v>
      </c>
    </row>
    <row r="66">
      <c r="A66" t="str">
        <v>P1</v>
      </c>
      <c r="B66">
        <v>0.00054</v>
      </c>
      <c r="C66">
        <v>0.00006</v>
      </c>
      <c r="D66">
        <v>0.000006666667</v>
      </c>
      <c r="E66">
        <v>0.008312</v>
      </c>
      <c r="F66">
        <v>0.002336</v>
      </c>
      <c r="G66">
        <v>0.000706</v>
      </c>
    </row>
    <row r="67">
      <c r="A67" t="str">
        <v>P2</v>
      </c>
      <c r="B67">
        <v>0.0007586919</v>
      </c>
      <c r="C67">
        <v>0.00009483649</v>
      </c>
      <c r="D67">
        <v>0.00001185456</v>
      </c>
      <c r="E67">
        <v>0.007557</v>
      </c>
      <c r="F67">
        <v>0.002319</v>
      </c>
      <c r="G67">
        <v>0.000719</v>
      </c>
    </row>
    <row r="68">
      <c r="A68" t="str">
        <v>P3</v>
      </c>
      <c r="B68">
        <v>0.001023097</v>
      </c>
      <c r="C68">
        <v>0.0001424566</v>
      </c>
      <c r="D68">
        <v>0.00001983573</v>
      </c>
      <c r="E68">
        <v>0.008338</v>
      </c>
      <c r="F68">
        <v>0.002967</v>
      </c>
      <c r="G68">
        <v>0.001203</v>
      </c>
    </row>
    <row r="69">
      <c r="A69" t="str">
        <v>P4</v>
      </c>
      <c r="B69">
        <v>0.001696897</v>
      </c>
      <c r="C69">
        <v>0.0002864892</v>
      </c>
      <c r="D69">
        <v>0.0000483683</v>
      </c>
      <c r="E69">
        <v>0.010754</v>
      </c>
      <c r="F69">
        <v>0.00441</v>
      </c>
      <c r="G69">
        <v>0.002496</v>
      </c>
    </row>
    <row r="70">
      <c r="A70" t="str">
        <v>L1</v>
      </c>
      <c r="B70">
        <v>0.003086272</v>
      </c>
      <c r="C70">
        <v>0.0006673021</v>
      </c>
      <c r="D70">
        <v>0.0001442815</v>
      </c>
      <c r="E70">
        <v>0.008387</v>
      </c>
      <c r="F70">
        <v>0.004229</v>
      </c>
      <c r="G70">
        <v>0.002221</v>
      </c>
    </row>
    <row r="71">
      <c r="A71" t="str">
        <v>L2</v>
      </c>
      <c r="B71">
        <v>0.003086272</v>
      </c>
      <c r="C71">
        <v>0.0006673021</v>
      </c>
      <c r="D71">
        <v>0.0001442815</v>
      </c>
      <c r="E71">
        <v>0.008387</v>
      </c>
      <c r="F71">
        <v>0.004229</v>
      </c>
      <c r="G71">
        <v>0.002221</v>
      </c>
    </row>
    <row r="72">
      <c r="A72" t="str">
        <v>L3</v>
      </c>
      <c r="B72">
        <v>0.003651397</v>
      </c>
      <c r="C72">
        <v>0.0008503253</v>
      </c>
      <c r="D72">
        <v>0.000198021</v>
      </c>
      <c r="E72">
        <v>0.006609</v>
      </c>
      <c r="F72">
        <v>0.00385</v>
      </c>
      <c r="G72">
        <v>0.002331</v>
      </c>
    </row>
    <row r="73">
      <c r="A73" t="str">
        <v>L4</v>
      </c>
      <c r="B73">
        <v>0.003651397</v>
      </c>
      <c r="C73">
        <v>0.0008503253</v>
      </c>
      <c r="D73">
        <v>0.000198021</v>
      </c>
      <c r="E73">
        <v>0.006609</v>
      </c>
      <c r="F73">
        <v>0.00385</v>
      </c>
      <c r="G73">
        <v>0.002331</v>
      </c>
    </row>
    <row r="75">
      <c r="A75" t="str">
        <v>── 4. FG Spin Bonus 期望值 ──</v>
      </c>
    </row>
    <row r="76">
      <c r="A76" t="str">
        <v>E[spinBonus]</v>
      </c>
      <c r="B76" t="str">
        <v>2.100000</v>
      </c>
      <c r="C76" t="str">
        <v/>
      </c>
      <c r="D76" t="str">
        <v/>
      </c>
      <c r="E76" t="str">
        <v/>
      </c>
      <c r="F76" t="str">
        <v/>
      </c>
      <c r="G76" t="str">
        <v/>
      </c>
    </row>
    <row r="77">
      <c r="A77" t="str">
        <v>倍率</v>
      </c>
      <c r="B77" t="str">
        <v>權重</v>
      </c>
      <c r="C77" t="str">
        <v>機率</v>
      </c>
      <c r="D77" t="str">
        <v>貢獻至E[bonus]</v>
      </c>
    </row>
    <row r="78">
      <c r="A78">
        <v>1</v>
      </c>
      <c r="B78">
        <v>900</v>
      </c>
      <c r="C78">
        <v>0.9</v>
      </c>
      <c r="D78">
        <v>0.9</v>
      </c>
    </row>
    <row r="79">
      <c r="A79">
        <v>5</v>
      </c>
      <c r="B79">
        <v>80</v>
      </c>
      <c r="C79">
        <v>0.08</v>
      </c>
      <c r="D79">
        <v>0.4</v>
      </c>
    </row>
    <row r="80">
      <c r="A80">
        <v>20</v>
      </c>
      <c r="B80">
        <v>15</v>
      </c>
      <c r="C80">
        <v>0.015</v>
      </c>
      <c r="D80">
        <v>0.3</v>
      </c>
    </row>
    <row r="81">
      <c r="A81">
        <v>100</v>
      </c>
      <c r="B81">
        <v>5</v>
      </c>
      <c r="C81">
        <v>0.005</v>
      </c>
      <c r="D81">
        <v>0.5</v>
      </c>
    </row>
    <row r="83">
      <c r="A83" t="str">
        <v>── 5. 保底 &amp; 費用參數（四情境）──</v>
      </c>
    </row>
    <row r="84">
      <c r="A84" t="str">
        <v>參數</v>
      </c>
      <c r="B84" t="str">
        <v>Main Game</v>
      </c>
      <c r="C84" t="str">
        <v>Extra Bet</v>
      </c>
      <c r="D84" t="str">
        <v>Buy FG</v>
      </c>
      <c r="E84" t="str">
        <v>EB+BuyFG</v>
      </c>
    </row>
    <row r="85">
      <c r="A85" t="str">
        <v>費用(×bet)</v>
      </c>
      <c r="B85">
        <v>1</v>
      </c>
      <c r="C85">
        <v>3</v>
      </c>
      <c r="D85">
        <v>100</v>
      </c>
      <c r="E85">
        <v>100</v>
      </c>
    </row>
    <row r="86">
      <c r="A86" t="str">
        <v>目標RTP(%)</v>
      </c>
      <c r="B86">
        <v>97.5</v>
      </c>
      <c r="C86">
        <v>97.5</v>
      </c>
      <c r="D86">
        <v>97.5</v>
      </c>
      <c r="E86">
        <v>97.5</v>
      </c>
    </row>
    <row r="87">
      <c r="A87" t="str">
        <v>payoutScale</v>
      </c>
      <c r="B87">
        <v>1</v>
      </c>
      <c r="C87">
        <v>1</v>
      </c>
      <c r="D87">
        <v>1</v>
      </c>
      <c r="E87">
        <v>1</v>
      </c>
    </row>
    <row r="88">
      <c r="A88" t="str">
        <v>近失類型</v>
      </c>
      <c r="B88" t="str">
        <v>ZERO_WIN</v>
      </c>
      <c r="C88" t="str">
        <v>ZERO_WIN</v>
      </c>
      <c r="D88" t="str">
        <v>MIN_WIN</v>
      </c>
      <c r="E88" t="str">
        <v>MIN_WIN</v>
      </c>
    </row>
    <row r="89">
      <c r="A89" t="str">
        <v>最小獎(×bet)</v>
      </c>
      <c r="B89" t="str">
        <v>N/A</v>
      </c>
      <c r="C89" t="str">
        <v>N/A</v>
      </c>
      <c r="D89">
        <v>20</v>
      </c>
      <c r="E89">
        <v>20</v>
      </c>
    </row>
    <row r="90">
      <c r="A90" t="str">
        <v>FG觸發方式</v>
      </c>
      <c r="B90" t="str">
        <v>Prob+EntryToss</v>
      </c>
      <c r="C90" t="str">
        <v>Prob+EntryToss</v>
      </c>
      <c r="D90" t="str">
        <v>保證5spin</v>
      </c>
      <c r="E90" t="str">
        <v>保證5spin</v>
      </c>
    </row>
    <row r="91">
      <c r="A91" t="str">
        <v>FG_TRIGGER_PROB</v>
      </c>
      <c r="D91" t="str">
        <v>N/A</v>
      </c>
      <c r="E91" t="str">
        <v>N/A</v>
      </c>
    </row>
    <row r="92">
      <c r="A92" t="str">
        <v>ENTRY_TOSS_PROB</v>
      </c>
      <c r="B92">
        <v>0.8</v>
      </c>
      <c r="C92">
        <v>0.8</v>
      </c>
      <c r="D92">
        <v>1</v>
      </c>
      <c r="E92">
        <v>1</v>
      </c>
    </row>
    <row r="93">
      <c r="A93" t="str">
        <v>MAX_WIN_MULT</v>
      </c>
      <c r="B93">
        <v>30000</v>
      </c>
      <c r="C93">
        <v>30000</v>
      </c>
      <c r="D93">
        <v>30000</v>
      </c>
      <c r="E93">
        <v>30000</v>
      </c>
    </row>
    <row r="95">
      <c r="A95" t="str">
        <v>── 6. 版本戳記 ──</v>
      </c>
    </row>
    <row r="96">
      <c r="A96" t="str">
        <v>build_time</v>
      </c>
      <c r="B96" t="str">
        <v>2026-04-09 05:45:39</v>
      </c>
    </row>
    <row r="97">
      <c r="A97" t="str">
        <v>source_file</v>
      </c>
      <c r="B97" t="str">
        <v>Thunder_Config.xlsx DATA tab</v>
      </c>
    </row>
    <row r="98">
      <c r="A98" t="str">
        <v>generator</v>
      </c>
      <c r="B98" t="str">
        <v>build_config.js</v>
      </c>
    </row>
    <row r="99">
      <c r="A99" t="str">
        <v>next_step</v>
      </c>
      <c r="B99" t="str">
        <v>excel_simulator.js → verify.js → engine_generator.js</v>
      </c>
    </row>
  </sheetData>
  <ignoredErrors>
    <ignoredError numberStoredAsText="1" sqref="A1:G99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G94"/>
  <sheetViews>
    <sheetView workbookViewId="0" rightToLeft="0"/>
  </sheetViews>
  <sheetData>
    <row r="1">
      <c r="A1" t="str">
        <v>MODE_MATH — 四情境獨立解析式 RTP 估算（工具解析式計算，含cascade/FG模型）</v>
      </c>
    </row>
    <row r="2">
      <c r="A2" t="str">
        <v>說明：解析式誤差 ±5pp（TB 貢獻未含，cascade/FG 用近似模型）</v>
      </c>
    </row>
    <row r="3">
      <c r="A3" t="str">
        <v>注意：TB 難以解析建模，估算不含 TB 貢獻（TB 貢獻估計 +5~15pp）</v>
      </c>
    </row>
    <row r="4">
      <c r="A4" t="str">
        <v>精確 RTP 以 SIMULATION tab Monte Carlo 為準</v>
      </c>
    </row>
    <row r="6">
      <c r="A6" t="str">
        <v>FG SpinBonus 期望值 E[bonus] = 2.1000</v>
      </c>
    </row>
    <row r="7">
      <c r="A7" t="str">
        <v>CASCADE_FACTOR K = 1.35</v>
      </c>
    </row>
    <row r="8">
      <c r="A8" t="str">
        <v>PHASE_A_AVG_SPINS = 3.2</v>
      </c>
    </row>
    <row r="9">
      <c r="A9" t="str">
        <v>MG_FG_TRIGGER_PROB（cascade推導）= 0.009624（h25×h33×h45×0.8）</v>
      </c>
    </row>
    <row r="10">
      <c r="A10" t="str">
        <v>EB_FG_TRIGGER_PROB（cascade推導）= 0.009081（h25×h33×h45×0.8）</v>
      </c>
    </row>
    <row r="12">
      <c r="A12" t="str">
        <v>══════════════════════════════════════════════════════</v>
      </c>
    </row>
    <row r="13">
      <c r="A13" t="str">
        <v>情境1: Main Game (MG) — RTP 解析估算</v>
      </c>
    </row>
    <row r="14">
      <c r="A14" t="str">
        <v>══════════════════════════════════════════════════════</v>
      </c>
    </row>
    <row r="15">
      <c r="A15" t="str">
        <v>A. 單次 spin EV（25線，無cascade）= 0.1098</v>
      </c>
    </row>
    <row r="16">
      <c r="A16" t="str">
        <v>B. Cascade Chain EV（多層展開，估算）= 0.1634</v>
      </c>
    </row>
    <row r="17">
      <c r="A17" t="str">
        <v>C. FG cascade chain EV（fgWeights × 57線）= 0.2381</v>
      </c>
    </row>
    <row r="18">
      <c r="A18" t="str">
        <v>D. FG 鏈期望值 E[FG chain]（cascade × mult × bonus）= 18.6690</v>
      </c>
    </row>
    <row r="19">
      <c r="A19" t="str">
        <v>E. FG 貢獻（P_trigger=0.009624 × P_entry=0.8 × FG_chain）= 0.1437</v>
      </c>
    </row>
    <row r="21">
      <c r="A21" t="str">
        <v>RTP 組成</v>
      </c>
      <c r="B21" t="str">
        <v>期望值（× bet）</v>
      </c>
      <c r="C21" t="str">
        <v>佔總 RTP（/1×bet）</v>
      </c>
    </row>
    <row r="22">
      <c r="A22" t="str">
        <v>Base spin cascade（非FG觸發）</v>
      </c>
      <c r="B22" t="str">
        <v>0.1618</v>
      </c>
      <c r="C22" t="str">
        <v>16.182%</v>
      </c>
    </row>
    <row r="23">
      <c r="A23" t="str">
        <v>Phase A（FG觸發時）</v>
      </c>
      <c r="B23" t="str">
        <v>0.0034</v>
      </c>
      <c r="C23" t="str">
        <v>0.338%</v>
      </c>
    </row>
    <row r="24">
      <c r="A24" t="str">
        <v>FG Loop 貢獻</v>
      </c>
      <c r="B24" t="str">
        <v>0.1437</v>
      </c>
      <c r="C24" t="str">
        <v>14.374%</v>
      </c>
    </row>
    <row r="25">
      <c r="A25" t="str">
        <v>合計 EV（wagered=1）</v>
      </c>
      <c r="B25" t="str">
        <v>0.3089</v>
      </c>
      <c r="C25" t="str">
        <v>100%</v>
      </c>
    </row>
    <row r="26">
      <c r="A26" t="str">
        <v>估算 RTP（不含TB）= 30.894% | 目標 97.5% | 差距 -66.61pp</v>
      </c>
    </row>
    <row r="27">
      <c r="A27" t="str">
        <v>TB 估計貢獻：+5~15pp（SC機率 × cascade深度決定）</v>
      </c>
    </row>
    <row r="29">
      <c r="A29" t="str">
        <v>主遊戲 Payline 命中率（1線）</v>
      </c>
    </row>
    <row r="30">
      <c r="A30" t="str">
        <v>符號</v>
      </c>
      <c r="B30" t="str">
        <v>3連P（1線）</v>
      </c>
      <c r="C30" t="str">
        <v>3連EV（25線）</v>
      </c>
      <c r="D30" t="str">
        <v>4連P（1線）</v>
      </c>
      <c r="E30" t="str">
        <v>4連EV（25線）</v>
      </c>
      <c r="F30" t="str">
        <v>5連P（1線）</v>
      </c>
      <c r="G30" t="str">
        <v>5連EV（25線）</v>
      </c>
    </row>
    <row r="31">
      <c r="A31" t="str">
        <v>W</v>
      </c>
      <c r="B31" t="str">
        <v>0.0001</v>
      </c>
      <c r="C31" t="str">
        <v>0.0020</v>
      </c>
      <c r="D31" t="str">
        <v>0.0000</v>
      </c>
      <c r="E31" t="str">
        <v>0.0004</v>
      </c>
      <c r="F31" t="str">
        <v>0.0000</v>
      </c>
      <c r="G31" t="str">
        <v>0.0001</v>
      </c>
    </row>
    <row r="32">
      <c r="A32" t="str">
        <v>P1</v>
      </c>
      <c r="B32" t="str">
        <v>0.0005</v>
      </c>
      <c r="C32" t="str">
        <v>0.0083</v>
      </c>
      <c r="D32" t="str">
        <v>0.0001</v>
      </c>
      <c r="E32" t="str">
        <v>0.0023</v>
      </c>
      <c r="F32" t="str">
        <v>0.0000</v>
      </c>
      <c r="G32" t="str">
        <v>0.0007</v>
      </c>
    </row>
    <row r="33">
      <c r="A33" t="str">
        <v>P2</v>
      </c>
      <c r="B33" t="str">
        <v>0.0008</v>
      </c>
      <c r="C33" t="str">
        <v>0.0076</v>
      </c>
      <c r="D33" t="str">
        <v>0.0001</v>
      </c>
      <c r="E33" t="str">
        <v>0.0023</v>
      </c>
      <c r="F33" t="str">
        <v>0.0000</v>
      </c>
      <c r="G33" t="str">
        <v>0.0007</v>
      </c>
    </row>
    <row r="34">
      <c r="A34" t="str">
        <v>P3</v>
      </c>
      <c r="B34" t="str">
        <v>0.0010</v>
      </c>
      <c r="C34" t="str">
        <v>0.0083</v>
      </c>
      <c r="D34" t="str">
        <v>0.0001</v>
      </c>
      <c r="E34" t="str">
        <v>0.0030</v>
      </c>
      <c r="F34" t="str">
        <v>0.0000</v>
      </c>
      <c r="G34" t="str">
        <v>0.0012</v>
      </c>
    </row>
    <row r="35">
      <c r="A35" t="str">
        <v>P4</v>
      </c>
      <c r="B35" t="str">
        <v>0.0017</v>
      </c>
      <c r="C35" t="str">
        <v>0.0108</v>
      </c>
      <c r="D35" t="str">
        <v>0.0003</v>
      </c>
      <c r="E35" t="str">
        <v>0.0044</v>
      </c>
      <c r="F35" t="str">
        <v>0.0000</v>
      </c>
      <c r="G35" t="str">
        <v>0.0025</v>
      </c>
    </row>
    <row r="36">
      <c r="A36" t="str">
        <v>L1</v>
      </c>
      <c r="B36" t="str">
        <v>0.0031</v>
      </c>
      <c r="C36" t="str">
        <v>0.0084</v>
      </c>
      <c r="D36" t="str">
        <v>0.0007</v>
      </c>
      <c r="E36" t="str">
        <v>0.0042</v>
      </c>
      <c r="F36" t="str">
        <v>0.0001</v>
      </c>
      <c r="G36" t="str">
        <v>0.0022</v>
      </c>
    </row>
    <row r="37">
      <c r="A37" t="str">
        <v>L2</v>
      </c>
      <c r="B37" t="str">
        <v>0.0031</v>
      </c>
      <c r="C37" t="str">
        <v>0.0084</v>
      </c>
      <c r="D37" t="str">
        <v>0.0007</v>
      </c>
      <c r="E37" t="str">
        <v>0.0042</v>
      </c>
      <c r="F37" t="str">
        <v>0.0001</v>
      </c>
      <c r="G37" t="str">
        <v>0.0022</v>
      </c>
    </row>
    <row r="38">
      <c r="A38" t="str">
        <v>L3</v>
      </c>
      <c r="B38" t="str">
        <v>0.0037</v>
      </c>
      <c r="C38" t="str">
        <v>0.0066</v>
      </c>
      <c r="D38" t="str">
        <v>0.0009</v>
      </c>
      <c r="E38" t="str">
        <v>0.0038</v>
      </c>
      <c r="F38" t="str">
        <v>0.0002</v>
      </c>
      <c r="G38" t="str">
        <v>0.0023</v>
      </c>
    </row>
    <row r="39">
      <c r="A39" t="str">
        <v>L4</v>
      </c>
      <c r="B39" t="str">
        <v>0.0037</v>
      </c>
      <c r="C39" t="str">
        <v>0.0066</v>
      </c>
      <c r="D39" t="str">
        <v>0.0009</v>
      </c>
      <c r="E39" t="str">
        <v>0.0038</v>
      </c>
      <c r="F39" t="str">
        <v>0.0002</v>
      </c>
      <c r="G39" t="str">
        <v>0.0023</v>
      </c>
    </row>
    <row r="41">
      <c r="A41" t="str">
        <v>══════════════════════════════════════════════════════</v>
      </c>
    </row>
    <row r="42">
      <c r="A42" t="str">
        <v>情境2: Extra Bet (EB) — RTP 解析估算（費用 0.4× bet）</v>
      </c>
    </row>
    <row r="43">
      <c r="A43" t="str">
        <v>══════════════════════════════════════════════════════</v>
      </c>
    </row>
    <row r="44">
      <c r="A44" t="str">
        <v>A. 單次 spin EV（25線，無cascade）= 0.1185</v>
      </c>
    </row>
    <row r="45">
      <c r="A45" t="str">
        <v>B. Cascade Chain EV（多層展開）= 0.1687</v>
      </c>
    </row>
    <row r="46">
      <c r="A46" t="str">
        <v>C. FG 鏈 EV（fgWeights cascade × mult × bonus）= 18.6690</v>
      </c>
    </row>
    <row r="48">
      <c r="A48" t="str">
        <v>RTP 組成</v>
      </c>
      <c r="B48" t="str">
        <v>期望值（× bet）</v>
      </c>
      <c r="C48" t="str">
        <v>佔費用比 /0.4</v>
      </c>
    </row>
    <row r="49">
      <c r="A49" t="str">
        <v>Base spin cascade（非FG觸發）</v>
      </c>
      <c r="B49" t="str">
        <v>0.1672</v>
      </c>
      <c r="C49" t="str">
        <v>41.795%</v>
      </c>
    </row>
    <row r="50">
      <c r="A50" t="str">
        <v>Phase A（FG觸發時）</v>
      </c>
      <c r="B50" t="str">
        <v>0.0034</v>
      </c>
      <c r="C50" t="str">
        <v>0.861%</v>
      </c>
    </row>
    <row r="51">
      <c r="A51" t="str">
        <v>FG Loop 貢獻</v>
      </c>
      <c r="B51" t="str">
        <v>0.1356</v>
      </c>
      <c r="C51" t="str">
        <v>33.907%</v>
      </c>
    </row>
    <row r="52">
      <c r="A52" t="str">
        <v>合計 EV</v>
      </c>
      <c r="B52" t="str">
        <v>0.3062</v>
      </c>
      <c r="C52" t="str">
        <v>100%</v>
      </c>
    </row>
    <row r="53">
      <c r="A53" t="str">
        <v>估算 RTP（不含TB）= 76.562% | 目標 97.5% | 差距 -20.94pp</v>
      </c>
    </row>
    <row r="54">
      <c r="A54" t="str">
        <v>TB 估計貢獻：+5~15pp</v>
      </c>
    </row>
    <row r="56">
      <c r="A56" t="str">
        <v>══════════════════════════════════════════════════════</v>
      </c>
    </row>
    <row r="57">
      <c r="A57" t="str">
        <v>情境3: Buy Free Game (BuyFG) — RTP 解析估算（費用 3× bet，無零獎）</v>
      </c>
    </row>
    <row r="58">
      <c r="A58" t="str">
        <v>══════════════════════════════════════════════════════</v>
      </c>
    </row>
    <row r="59">
      <c r="A59" t="str">
        <v>A. BuyFG FG spin EV（57線，buyFG權重）= 0.2788</v>
      </c>
    </row>
    <row r="60">
      <c r="A60" t="str">
        <v>B. 命中率估算（estimateHitRate，corrFactor=0.45）= 58.58%</v>
      </c>
    </row>
    <row r="61">
      <c r="A61" t="str">
        <v>C. 保證贏 spin EV = EV / hitRate = 0.4760</v>
      </c>
    </row>
    <row r="62">
      <c r="A62" t="str">
        <v>D. 5次保證 FG spin 鏈 EV（各級倍率×保證EV×bonus）= 130.9524</v>
      </c>
    </row>
    <row r="63">
      <c r="A63" t="str">
        <v>注意：BuyFG 無 Phase A（玩家直接進入 FG），Phase A 貢獻 = 0</v>
      </c>
    </row>
    <row r="65">
      <c r="A65" t="str">
        <v>BuyFG 情境 RTP 組成</v>
      </c>
      <c r="B65" t="str">
        <v>期望值（× bet）</v>
      </c>
      <c r="C65" t="str">
        <v>佔費用比 /3</v>
      </c>
    </row>
    <row r="66">
      <c r="A66" t="str">
        <v>5次保證 FG spin（各級倍率）</v>
      </c>
      <c r="B66" t="str">
        <v>130.9524</v>
      </c>
      <c r="C66" t="str">
        <v>4365.082%</v>
      </c>
    </row>
    <row r="67">
      <c r="A67" t="str">
        <v>近失（最小獎）貢獻</v>
      </c>
      <c r="B67" t="str">
        <v>P(近失)×100</v>
      </c>
      <c r="C67" t="str">
        <v>≈ P(近失)×33.3333</v>
      </c>
    </row>
    <row r="68">
      <c r="A68" t="str">
        <v>估算 RTP（不含近失）= 4365.082% | 目標 97.5% | 差距 4267.58pp</v>
      </c>
    </row>
    <row r="69">
      <c r="A69" t="str">
        <v>最小獎 100× bet：若 P(近失)=10%，貢獻 +333.33pp</v>
      </c>
    </row>
    <row r="71">
      <c r="A71" t="str">
        <v>══════════════════════════════════════════════════════</v>
      </c>
    </row>
    <row r="72">
      <c r="A72" t="str">
        <v>情境4: EB + Buy FG — RTP 解析估算（費用 3× bet，SC保證，無零獎）</v>
      </c>
    </row>
    <row r="73">
      <c r="A73" t="str">
        <v>══════════════════════════════════════════════════════</v>
      </c>
    </row>
    <row r="74">
      <c r="A74" t="str">
        <v>A. FG 5-spin EV（EBBuyFG fgWeights，hitRate=58.58%）= 130.9524</v>
      </c>
    </row>
    <row r="75">
      <c r="A75" t="str">
        <v>B. Phase A EV（EB+BuyFG phaseAWeights，SC保證，57線×3.2spins）= 0.8644</v>
      </c>
    </row>
    <row r="77">
      <c r="A77" t="str">
        <v>EB+BuyFG 情境 RTP 組成</v>
      </c>
      <c r="B77" t="str">
        <v>期望值（× bet）</v>
      </c>
      <c r="C77" t="str">
        <v>佔費用比 /3</v>
      </c>
    </row>
    <row r="78">
      <c r="A78" t="str">
        <v>Phase A（SC保證 cascade）</v>
      </c>
      <c r="B78" t="str">
        <v>0.8644</v>
      </c>
      <c r="C78" t="str">
        <v>28.815%</v>
      </c>
    </row>
    <row r="79">
      <c r="A79" t="str">
        <v>5次保證 FG spin</v>
      </c>
      <c r="B79" t="str">
        <v>130.9524</v>
      </c>
      <c r="C79" t="str">
        <v>4365.082%</v>
      </c>
    </row>
    <row r="80">
      <c r="A80" t="str">
        <v>估算 RTP（不含近失）= 4393.896% | 目標 97.5% | 差距 4296.40pp</v>
      </c>
    </row>
    <row r="81">
      <c r="A81" t="str">
        <v>最小獎 100× bet：同 BuyFG 地板保底</v>
      </c>
    </row>
    <row r="83">
      <c r="A83" t="str">
        <v>══════════════════════════════════════════════════════</v>
      </c>
    </row>
    <row r="84">
      <c r="A84" t="str">
        <v>四情境 RTP 估算對照表（不含 TB 貢獻）</v>
      </c>
    </row>
    <row r="85">
      <c r="A85" t="str">
        <v>══════════════════════════════════════════════════════</v>
      </c>
    </row>
    <row r="86">
      <c r="A86" t="str">
        <v>情境</v>
      </c>
      <c r="B86" t="str">
        <v>費用</v>
      </c>
      <c r="C86" t="str">
        <v>估算RTP（解析，不含TB）</v>
      </c>
      <c r="D86" t="str">
        <v>目標RTP</v>
      </c>
      <c r="E86" t="str">
        <v>差距（pp）</v>
      </c>
      <c r="F86" t="str">
        <v>主要校準槓桿</v>
      </c>
    </row>
    <row r="87">
      <c r="A87" t="str">
        <v>Main Game</v>
      </c>
      <c r="B87" t="str">
        <v>1×</v>
      </c>
      <c r="C87" t="str">
        <v>30.894%</v>
      </c>
      <c r="D87" t="str">
        <v>97.5%</v>
      </c>
      <c r="E87" t="str">
        <v>-66.61pp</v>
      </c>
      <c r="F87" t="str">
        <v>↑ FG_TRIGGER_PROB / ↑ PAYTABLE_SCALE</v>
      </c>
    </row>
    <row r="88">
      <c r="A88" t="str">
        <v>Extra Bet</v>
      </c>
      <c r="B88" t="str">
        <v>0.4×</v>
      </c>
      <c r="C88" t="str">
        <v>76.562%</v>
      </c>
      <c r="D88" t="str">
        <v>97.5%</v>
      </c>
      <c r="E88" t="str">
        <v>-20.94pp</v>
      </c>
      <c r="F88" t="str">
        <v>↑ FG_TRIGGER_PROB / ↑ PAYTABLE_SCALE</v>
      </c>
    </row>
    <row r="89">
      <c r="A89" t="str">
        <v>Buy FG</v>
      </c>
      <c r="B89" t="str">
        <v>3×</v>
      </c>
      <c r="C89" t="str">
        <v>4365.082%</v>
      </c>
      <c r="D89" t="str">
        <v>97.5%</v>
      </c>
      <c r="E89" t="str">
        <v>4267.58pp</v>
      </c>
      <c r="F89" t="str">
        <v>↑ BuyFG符號權重 / ↑ MIN_WIN_MULT</v>
      </c>
    </row>
    <row r="90">
      <c r="A90" t="str">
        <v>EB+BuyFG</v>
      </c>
      <c r="B90" t="str">
        <v>3×</v>
      </c>
      <c r="C90" t="str">
        <v>4393.896%</v>
      </c>
      <c r="D90" t="str">
        <v>97.5%</v>
      </c>
      <c r="E90" t="str">
        <v>4296.40pp</v>
      </c>
      <c r="F90" t="str">
        <v>↑ BuyFG符號權重 / ↑ phaseA權重</v>
      </c>
    </row>
    <row r="92">
      <c r="A92" t="str">
        <v>TB 貢獻說明：TB 難以解析建模，估算不含 TB 貢獻</v>
      </c>
    </row>
    <row r="93">
      <c r="A93" t="str">
        <v>TB 貢獻估計：+5~15pp（視 SC 機率和 cascade 深度而定）</v>
      </c>
    </row>
    <row r="94">
      <c r="A94" t="str">
        <v>精確 RTP 以 SIMULATION tab Monte Carlo 為準（excel_simulator.js）</v>
      </c>
    </row>
  </sheetData>
  <ignoredErrors>
    <ignoredError numberStoredAsText="1" sqref="A1:G9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</vt:lpstr>
      <vt:lpstr>SIMULATION</vt:lpstr>
      <vt:lpstr>DESIGN_VIEW</vt:lpstr>
      <vt:lpstr>ENG_TOOLS</vt:lpstr>
      <vt:lpstr>MODE_MATH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